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uators" sheetId="2" state="visible" r:id="rId2"/>
    <sheet name="Hands" sheetId="3" state="visible" r:id="rId3"/>
    <sheet name="Compute &amp; sensors" sheetId="4" state="visible" r:id="rId4"/>
    <sheet name="Power" sheetId="5" state="visible" r:id="rId5"/>
    <sheet name="Electronics &amp; wiring" sheetId="6" state="visible" r:id="rId6"/>
    <sheet name="Structure &amp; materials" sheetId="7" state="visible" r:id="rId7"/>
    <sheet name="Fasteners" sheetId="8" state="visible" r:id="rId8"/>
    <sheet name="Tooling" sheetId="9" state="visible" r:id="rId9"/>
    <sheet name="Safety" sheetId="10" state="visible" r:id="rId10"/>
    <sheet name="Sourcing" sheetId="11" state="visible" r:id="rId11"/>
    <sheet name="Made parts (CAD)" sheetId="12" state="visible" r:id="rId12"/>
    <sheet name="Actuator bolts (CAD)" sheetId="13" state="visible" r:id="rId13"/>
  </sheets>
  <definedNames>
    <definedName name="_xlnm._FilterDatabase" localSheetId="1" hidden="1">'Actuators'!$A$1:$K$6</definedName>
    <definedName name="_xlnm._FilterDatabase" localSheetId="2" hidden="1">'Hands'!$A$1:$K$4</definedName>
    <definedName name="_xlnm._FilterDatabase" localSheetId="3" hidden="1">'Compute &amp; sensors'!$A$1:$K$6</definedName>
    <definedName name="_xlnm._FilterDatabase" localSheetId="4" hidden="1">'Power'!$A$1:$K$15</definedName>
    <definedName name="_xlnm._FilterDatabase" localSheetId="5" hidden="1">'Electronics &amp; wiring'!$A$1:$K$11</definedName>
    <definedName name="_xlnm._FilterDatabase" localSheetId="6" hidden="1">'Structure &amp; materials'!$A$1:$K$14</definedName>
    <definedName name="_xlnm._FilterDatabase" localSheetId="7" hidden="1">'Fasteners'!$A$1:$K$2</definedName>
    <definedName name="_xlnm._FilterDatabase" localSheetId="8" hidden="1">'Tooling'!$A$1:$K$6</definedName>
    <definedName name="_xlnm._FilterDatabase" localSheetId="9" hidden="1">'Safety'!$A$1:$K$5</definedName>
    <definedName name="_xlnm._FilterDatabase" localSheetId="10" hidden="1">'Sourcing'!$A$1:$J$29</definedName>
    <definedName name="_xlnm._FilterDatabase" localSheetId="11" hidden="1">'Made parts (CAD)'!$A$1:$K$114</definedName>
    <definedName name="_xlnm._FilterDatabase" localSheetId="12" hidden="1">'Actuator bolts (CAD)'!$A$1:$F$9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3" fillId="3" borderId="1" pivotButton="0" quotePrefix="0" xfId="0"/>
    <xf numFmtId="164" fontId="3" fillId="3" borderId="1" pivotButton="0" quotePrefix="0" xfId="0"/>
    <xf numFmtId="164" fontId="1" fillId="2" borderId="0" pivotButton="0" quotePrefix="0" xfId="0"/>
    <xf numFmtId="0" fontId="1" fillId="2" borderId="0" applyAlignment="1" pivotButton="0" quotePrefix="0" xfId="0">
      <alignment vertical="center"/>
    </xf>
    <xf numFmtId="1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3" fillId="3" borderId="1" pivotButton="0" quotePrefix="0" xfId="0"/>
    <xf numFmtId="164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fitlab.com/products/feetech-sts3250-servo-motor" TargetMode="External" Id="rId1" /><Relationship Type="http://schemas.openxmlformats.org/officeDocument/2006/relationships/hyperlink" Target="https://www.seeedstudio.com/Robostride-00-Actuator-p-6664.html" TargetMode="External" Id="rId2" /><Relationship Type="http://schemas.openxmlformats.org/officeDocument/2006/relationships/hyperlink" Target="https://www.seeedstudio.com/Robostride-03-Actuator-p-6774.html" TargetMode="External" Id="rId3" /><Relationship Type="http://schemas.openxmlformats.org/officeDocument/2006/relationships/hyperlink" Target="https://www.seeedstudio.com/Robostride-04-Actuator-p-6775.html" TargetMode="External" Id="rId4" /><Relationship Type="http://schemas.openxmlformats.org/officeDocument/2006/relationships/hyperlink" Target="https://www.seeedstudio.com/Robostride-06-Actuator-p-6668.html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eedstudio.com/Amazing-Hand-Open-Source-3D-Printable-Robotic-Hand-Kit.html" TargetMode="External" Id="rId1" /><Relationship Type="http://schemas.openxmlformats.org/officeDocument/2006/relationships/hyperlink" Target="https://www.waveshare.com/bus-servo-adapter-a.htm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marketplace.nvidia.com/en-us/enterprise/robotics-edge/jetson-agx-orin-developer-kit/" TargetMode="External" Id="rId1" /><Relationship Type="http://schemas.openxmlformats.org/officeDocument/2006/relationships/hyperlink" Target="https://store.orbbec.com/products/gemini-335l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18650batterystore.com/products/jk-b2a24s15p-bms" TargetMode="External" Id="rId1" /><Relationship Type="http://schemas.openxmlformats.org/officeDocument/2006/relationships/hyperlink" Target="https://www.18650batterystore.com/products/molicel-p45b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waveshare.com/bus-servo-adapter-a.htm" TargetMode="External" Id="rId1" /><Relationship Type="http://schemas.openxmlformats.org/officeDocument/2006/relationships/hyperlink" Target="https://github.com/INNO-MAKER/usb2can" TargetMode="External" Id="rId2" /><Relationship Type="http://schemas.openxmlformats.org/officeDocument/2006/relationships/hyperlink" Target="https://reach.dog/shop/openlight-labs/products/canable-pro-isolated-usb-to-can-adapter" TargetMode="External" Id="rId3" /><Relationship Type="http://schemas.openxmlformats.org/officeDocument/2006/relationships/hyperlink" Target="https://www.seeedstudio.com/Robostride-CAN-USB-Driver-Board-p-6708.html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zoro.com/ezo-deep-groove-30mm-bore-42mm-od-sealed-6806-2rsc0srl/i/G20800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simplybearings.co.uk/shop/p170125/68062RS-Budget-Rubber-Sealed-Thin-Section-Deep-Groove-Ball-Bearing-30x42x7mm/product_info.html" TargetMode="External" Id="rId1" /><Relationship Type="http://schemas.openxmlformats.org/officeDocument/2006/relationships/hyperlink" Target="https://www.zoro.com/ezo-deep-groove-30mm-bore-42mm-od-sealed-6806-2rsc0srl/i/G2080051" TargetMode="External" Id="rId2" /><Relationship Type="http://schemas.openxmlformats.org/officeDocument/2006/relationships/hyperlink" Target="https://www.18650batterystore.com/products/jk-b2a24s15p-bms" TargetMode="External" Id="rId3" /><Relationship Type="http://schemas.openxmlformats.org/officeDocument/2006/relationships/hyperlink" Target="https://store.orbbec.com/products/gemini-335l" TargetMode="External" Id="rId4" /><Relationship Type="http://schemas.openxmlformats.org/officeDocument/2006/relationships/hyperlink" Target="https://www.robotshop.com/products/orbbec-gemini-335l-camera" TargetMode="External" Id="rId5" /><Relationship Type="http://schemas.openxmlformats.org/officeDocument/2006/relationships/hyperlink" Target="https://www.seeedstudio.com/Robostride-CAN-USB-Driver-Board-p-6708.html" TargetMode="External" Id="rId6" /><Relationship Type="http://schemas.openxmlformats.org/officeDocument/2006/relationships/hyperlink" Target="https://www.carrefouruae.com/mafuae/en/miscellaneous/innomaker-dual-channels-usb-to-can-converter-for-raspberry-pi5-4-pi3b-pi3-pi-zero-w-jetson-nano-tinker-board-any-sbcs-desktop-laptop-support-windows-linux-mac-os-android-venus-os-/p/1881649107638" TargetMode="External" Id="rId7" /><Relationship Type="http://schemas.openxmlformats.org/officeDocument/2006/relationships/hyperlink" Target="https://github.com/INNO-MAKER/usb2can" TargetMode="External" Id="rId8" /><Relationship Type="http://schemas.openxmlformats.org/officeDocument/2006/relationships/hyperlink" Target="https://reach.dog/shop/openlight-labs/products/canable-pro-isolated-usb-to-can-adapter" TargetMode="External" Id="rId9" /><Relationship Type="http://schemas.openxmlformats.org/officeDocument/2006/relationships/hyperlink" Target="https://robotshop.com/products/eyou-robotics-can-usb-adapter-canable-pro" TargetMode="External" Id="rId10" /><Relationship Type="http://schemas.openxmlformats.org/officeDocument/2006/relationships/hyperlink" Target="https://www.18650batterystore.com/products/molicel-p45b" TargetMode="External" Id="rId11" /><Relationship Type="http://schemas.openxmlformats.org/officeDocument/2006/relationships/hyperlink" Target="https://www.batteriesinaflash.com/regular-rechargeable-batteries/molicel-inr-21700-p45b-3-6-volt-4500mah-45a-lithium-ion-cell" TargetMode="External" Id="rId12" /><Relationship Type="http://schemas.openxmlformats.org/officeDocument/2006/relationships/hyperlink" Target="https://www.cnx-software.com/2026/07/22/nvidia-increases-the-price-of-jetson-modules-and-devkits-by-up-to-101/" TargetMode="External" Id="rId13" /><Relationship Type="http://schemas.openxmlformats.org/officeDocument/2006/relationships/hyperlink" Target="https://marketplace.nvidia.com/en-us/enterprise/robotics-edge/jetson-agx-orin-developer-kit/" TargetMode="External" Id="rId14" /><Relationship Type="http://schemas.openxmlformats.org/officeDocument/2006/relationships/hyperlink" Target="https://www.sparkfun.com/nvidia-jetson-agx-orin-64gb-developer-kit.html" TargetMode="External" Id="rId15" /><Relationship Type="http://schemas.openxmlformats.org/officeDocument/2006/relationships/hyperlink" Target="https://www.bravoelectro.com/ddr-120c-12.html" TargetMode="External" Id="rId16" /><Relationship Type="http://schemas.openxmlformats.org/officeDocument/2006/relationships/hyperlink" Target="https://github.com/pollen-robotics/AmazingHand" TargetMode="External" Id="rId17" /><Relationship Type="http://schemas.openxmlformats.org/officeDocument/2006/relationships/hyperlink" Target="https://www.seeedstudio.com/Amazing-Hand-Open-Source-3D-Printable-Robotic-Hand-Kit.html" TargetMode="External" Id="rId18" /><Relationship Type="http://schemas.openxmlformats.org/officeDocument/2006/relationships/hyperlink" Target="https://www.seeedstudio.com/Amazing-Hand-Right-Hand-The-Open-Source-Robotic-Hand-Developer-Kit.html" TargetMode="External" Id="rId19" /><Relationship Type="http://schemas.openxmlformats.org/officeDocument/2006/relationships/hyperlink" Target="https://www.seeedstudio.com/Robostride-00-Actuator-p-6664.html" TargetMode="External" Id="rId20" /><Relationship Type="http://schemas.openxmlformats.org/officeDocument/2006/relationships/hyperlink" Target="https://www.seeedstudio.com/Robostride-03-Actuator-p-6774.html" TargetMode="External" Id="rId21" /><Relationship Type="http://schemas.openxmlformats.org/officeDocument/2006/relationships/hyperlink" Target="https://www.seeedstudio.com/Robostride-04-Actuator-p-6775.html" TargetMode="External" Id="rId22" /><Relationship Type="http://schemas.openxmlformats.org/officeDocument/2006/relationships/hyperlink" Target="https://www.seeedstudio.com/Robostride-06-Actuator-p-6668.html" TargetMode="External" Id="rId23" /><Relationship Type="http://schemas.openxmlformats.org/officeDocument/2006/relationships/hyperlink" Target="https://uk.robotshop.com/products/fe-urt-1-usb-to-ttl-485-bus-programmer" TargetMode="External" Id="rId24" /><Relationship Type="http://schemas.openxmlformats.org/officeDocument/2006/relationships/hyperlink" Target="https://www.waveshare.com/bus-servo-adapter-a.htm" TargetMode="External" Id="rId25" /><Relationship Type="http://schemas.openxmlformats.org/officeDocument/2006/relationships/hyperlink" Target="https://aifitlab.com/products/feetech-sts3250-servo-motor" TargetMode="External" Id="rId26" /><Relationship Type="http://schemas.openxmlformats.org/officeDocument/2006/relationships/hyperlink" Target="https://openelab.io/products/feetech-sts3250-c002-servo-12v" TargetMode="External" Id="rId27" /><Relationship Type="http://schemas.openxmlformats.org/officeDocument/2006/relationships/hyperlink" Target="https://rcdrone.top/products/feetech-sts3250-servo-motor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Marvin Bot bill of materials</t>
        </is>
      </c>
    </row>
    <row r="2" ht="48" customHeight="1">
      <c r="A2" s="2" t="inlineStr">
        <is>
          <t>This workbook is the BOM's source of truth; copy it to track your own build. Set each line's status to to buy, ordered or owned and the totals follow. After editing, run python tools/bom/book.py to tidy it. Prices are indicative: see each line's price basis and the Sourcing sheet.</t>
        </is>
      </c>
    </row>
    <row r="4">
      <c r="A4" s="3" t="inlineStr">
        <is>
          <t>Group</t>
        </is>
      </c>
      <c r="B4" s="3" t="inlineStr">
        <is>
          <t>Lines</t>
        </is>
      </c>
      <c r="C4" s="3" t="inlineStr">
        <is>
          <t>Total USD</t>
        </is>
      </c>
      <c r="D4" s="3" t="inlineStr">
        <is>
          <t>Owned USD</t>
        </is>
      </c>
      <c r="E4" s="3" t="inlineStr">
        <is>
          <t>Ordered USD</t>
        </is>
      </c>
      <c r="F4" s="3" t="inlineStr">
        <is>
          <t>To buy USD</t>
        </is>
      </c>
    </row>
    <row r="5">
      <c r="A5" t="inlineStr">
        <is>
          <t>Actuators</t>
        </is>
      </c>
      <c r="B5">
        <f>COUNTA('Actuators'!A2:A6)</f>
        <v>5</v>
      </c>
      <c r="C5" s="13">
        <f>'Actuators'!H8</f>
        <v>6200.98</v>
      </c>
      <c r="D5" s="13">
        <f>SUMIFS('Actuators'!$H$2:$H$6,'Actuators'!$D$2:$D$6,"owned")</f>
        <v>0</v>
      </c>
      <c r="E5" s="13">
        <f>SUMIFS('Actuators'!$H$2:$H$6,'Actuators'!$D$2:$D$6,"ordered")</f>
        <v>0</v>
      </c>
      <c r="F5" s="13">
        <f>SUMIFS('Actuators'!$H$2:$H$6,'Actuators'!$D$2:$D$6,"to buy")</f>
        <v>6200.98</v>
      </c>
    </row>
    <row r="6">
      <c r="A6" t="inlineStr">
        <is>
          <t>Hands</t>
        </is>
      </c>
      <c r="B6">
        <f>COUNTA('Hands'!A2:A4)</f>
        <v>3</v>
      </c>
      <c r="C6" s="13">
        <f>'Hands'!H6</f>
        <v>224</v>
      </c>
      <c r="D6" s="13">
        <f>SUMIFS('Hands'!$H$2:$H$4,'Hands'!$D$2:$D$4,"owned")</f>
        <v>198</v>
      </c>
      <c r="E6" s="13">
        <f>SUMIFS('Hands'!$H$2:$H$4,'Hands'!$D$2:$D$4,"ordered")</f>
        <v>0</v>
      </c>
      <c r="F6" s="13">
        <f>SUMIFS('Hands'!$H$2:$H$4,'Hands'!$D$2:$D$4,"to buy")</f>
        <v>26</v>
      </c>
    </row>
    <row r="7">
      <c r="A7" t="inlineStr">
        <is>
          <t>Compute &amp; sensors</t>
        </is>
      </c>
      <c r="B7">
        <f>COUNTA('Compute &amp; sensors'!A2:A6)</f>
        <v>5</v>
      </c>
      <c r="C7" s="13">
        <f>'Compute &amp; sensors'!H8</f>
        <v>4723</v>
      </c>
      <c r="D7" s="13">
        <f>SUMIFS('Compute &amp; sensors'!$H$2:$H$6,'Compute &amp; sensors'!$D$2:$D$6,"owned")</f>
        <v>3534</v>
      </c>
      <c r="E7" s="13">
        <f>SUMIFS('Compute &amp; sensors'!$H$2:$H$6,'Compute &amp; sensors'!$D$2:$D$6,"ordered")</f>
        <v>0</v>
      </c>
      <c r="F7" s="13">
        <f>SUMIFS('Compute &amp; sensors'!$H$2:$H$6,'Compute &amp; sensors'!$D$2:$D$6,"to buy")</f>
        <v>1189</v>
      </c>
    </row>
    <row r="8">
      <c r="A8" t="inlineStr">
        <is>
          <t>Power</t>
        </is>
      </c>
      <c r="B8">
        <f>COUNTA('Power'!A2:A15)</f>
        <v>14</v>
      </c>
      <c r="C8" s="13">
        <f>'Power'!H17</f>
        <v>1633.05</v>
      </c>
      <c r="D8" s="13">
        <f>SUMIFS('Power'!$H$2:$H$15,'Power'!$D$2:$D$15,"owned")</f>
        <v>0</v>
      </c>
      <c r="E8" s="13">
        <f>SUMIFS('Power'!$H$2:$H$15,'Power'!$D$2:$D$15,"ordered")</f>
        <v>0</v>
      </c>
      <c r="F8" s="13">
        <f>SUMIFS('Power'!$H$2:$H$15,'Power'!$D$2:$D$15,"to buy")</f>
        <v>1633.05</v>
      </c>
    </row>
    <row r="9">
      <c r="A9" t="inlineStr">
        <is>
          <t>Electronics &amp; wiring</t>
        </is>
      </c>
      <c r="B9">
        <f>COUNTA('Electronics &amp; wiring'!A2:A11)</f>
        <v>10</v>
      </c>
      <c r="C9" s="13">
        <f>'Electronics &amp; wiring'!H13</f>
        <v>808</v>
      </c>
      <c r="D9" s="13">
        <f>SUMIFS('Electronics &amp; wiring'!$H$2:$H$11,'Electronics &amp; wiring'!$D$2:$D$11,"owned")</f>
        <v>0</v>
      </c>
      <c r="E9" s="13">
        <f>SUMIFS('Electronics &amp; wiring'!$H$2:$H$11,'Electronics &amp; wiring'!$D$2:$D$11,"ordered")</f>
        <v>0</v>
      </c>
      <c r="F9" s="13">
        <f>SUMIFS('Electronics &amp; wiring'!$H$2:$H$11,'Electronics &amp; wiring'!$D$2:$D$11,"to buy")</f>
        <v>808</v>
      </c>
    </row>
    <row r="10">
      <c r="A10" t="inlineStr">
        <is>
          <t>Structure &amp; materials</t>
        </is>
      </c>
      <c r="B10">
        <f>COUNTA('Structure &amp; materials'!A2:A14)</f>
        <v>13</v>
      </c>
      <c r="C10" s="13">
        <f>'Structure &amp; materials'!H16</f>
        <v>2582</v>
      </c>
      <c r="D10" s="13">
        <f>SUMIFS('Structure &amp; materials'!$H$2:$H$14,'Structure &amp; materials'!$D$2:$D$14,"owned")</f>
        <v>0</v>
      </c>
      <c r="E10" s="13">
        <f>SUMIFS('Structure &amp; materials'!$H$2:$H$14,'Structure &amp; materials'!$D$2:$D$14,"ordered")</f>
        <v>0</v>
      </c>
      <c r="F10" s="13">
        <f>SUMIFS('Structure &amp; materials'!$H$2:$H$14,'Structure &amp; materials'!$D$2:$D$14,"to buy")</f>
        <v>2582</v>
      </c>
    </row>
    <row r="11">
      <c r="A11" t="inlineStr">
        <is>
          <t>Fasteners</t>
        </is>
      </c>
      <c r="B11">
        <f>COUNTA('Fasteners'!A2:A2)</f>
        <v>1</v>
      </c>
      <c r="C11" s="13">
        <f>'Fasteners'!H4</f>
        <v>180</v>
      </c>
      <c r="D11" s="13">
        <f>SUMIFS('Fasteners'!$H$2:$H$2,'Fasteners'!$D$2:$D$2,"owned")</f>
        <v>0</v>
      </c>
      <c r="E11" s="13">
        <f>SUMIFS('Fasteners'!$H$2:$H$2,'Fasteners'!$D$2:$D$2,"ordered")</f>
        <v>0</v>
      </c>
      <c r="F11" s="13">
        <f>SUMIFS('Fasteners'!$H$2:$H$2,'Fasteners'!$D$2:$D$2,"to buy")</f>
        <v>180</v>
      </c>
    </row>
    <row r="12">
      <c r="A12" t="inlineStr">
        <is>
          <t>Tooling</t>
        </is>
      </c>
      <c r="B12">
        <f>COUNTA('Tooling'!A2:A6)</f>
        <v>5</v>
      </c>
      <c r="C12" s="13">
        <f>'Tooling'!H8</f>
        <v>710</v>
      </c>
      <c r="D12" s="13">
        <f>SUMIFS('Tooling'!$H$2:$H$6,'Tooling'!$D$2:$D$6,"owned")</f>
        <v>0</v>
      </c>
      <c r="E12" s="13">
        <f>SUMIFS('Tooling'!$H$2:$H$6,'Tooling'!$D$2:$D$6,"ordered")</f>
        <v>0</v>
      </c>
      <c r="F12" s="13">
        <f>SUMIFS('Tooling'!$H$2:$H$6,'Tooling'!$D$2:$D$6,"to buy")</f>
        <v>710</v>
      </c>
    </row>
    <row r="13">
      <c r="A13" t="inlineStr">
        <is>
          <t>Safety</t>
        </is>
      </c>
      <c r="B13">
        <f>COUNTA('Safety'!A2:A5)</f>
        <v>4</v>
      </c>
      <c r="C13" s="13">
        <f>'Safety'!H7</f>
        <v>470</v>
      </c>
      <c r="D13" s="13">
        <f>SUMIFS('Safety'!$H$2:$H$5,'Safety'!$D$2:$D$5,"owned")</f>
        <v>0</v>
      </c>
      <c r="E13" s="13">
        <f>SUMIFS('Safety'!$H$2:$H$5,'Safety'!$D$2:$D$5,"ordered")</f>
        <v>0</v>
      </c>
      <c r="F13" s="13">
        <f>SUMIFS('Safety'!$H$2:$H$5,'Safety'!$D$2:$D$5,"to buy")</f>
        <v>470</v>
      </c>
    </row>
    <row r="14">
      <c r="A14" s="5" t="inlineStr">
        <is>
          <t>Total (full cost to replicate)</t>
        </is>
      </c>
      <c r="B14" s="5">
        <f>SUM(B5:B13)</f>
        <v>60</v>
      </c>
      <c r="C14" s="14">
        <f>SUM(C5:C13)</f>
        <v>17531.03</v>
      </c>
      <c r="D14" s="14">
        <f>SUM(D5:D13)</f>
        <v>3732</v>
      </c>
      <c r="E14" s="14">
        <f>SUM(E5:E13)</f>
        <v>0</v>
      </c>
      <c r="F14" s="14">
        <f>SUM(F5:F13)</f>
        <v>13799.03</v>
      </c>
    </row>
    <row r="16" ht="48" customHeight="1">
      <c r="A16" s="2" t="inlineStr">
        <is>
          <t>Optional, not counted: a desktop RTX GPU with 24-32 GB for training and GR00T fine-tuning (RTX 5090: $1,999 list, about $4,000 or more street price in late 2026). Also not counted: the desktop CNC mill and 3D printer, shipping, import duties and tariffs.</t>
        </is>
      </c>
    </row>
  </sheetData>
  <mergeCells count="2">
    <mergeCell ref="A2:F2"/>
    <mergeCell ref="A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sts3250</t>
        </is>
      </c>
      <c r="B2" s="2" t="inlineStr">
        <is>
          <t>Feetech STS3250 serial-bus servo</t>
        </is>
      </c>
      <c r="C2" t="inlineStr">
        <is>
          <t>STS3250</t>
        </is>
      </c>
      <c r="D2" t="inlineStr">
        <is>
          <t>to buy</t>
        </is>
      </c>
      <c r="E2" s="9" t="n">
        <v>4</v>
      </c>
      <c r="F2" s="9" t="n">
        <v>0</v>
      </c>
      <c r="G2" s="16" t="n">
        <v>97</v>
      </c>
      <c r="H2" s="16">
        <f>(E2+F2)*G2</f>
        <v>388</v>
      </c>
      <c r="I2" s="2" t="inlineStr">
        <is>
          <t>2026-10-29: $97 (AIFit Lab, ST-3250-C001, backordered); $125 elsewhere (sold out)</t>
        </is>
      </c>
      <c r="J2" s="11" t="inlineStr">
        <is>
          <t>https://aifitlab.com/products/feetech-sts3250-servo-motor</t>
        </is>
      </c>
      <c r="K2" s="2" t="inlineStr">
        <is>
          <t>neck yaw/pitch and wrist pitch; check the variant (C001 or C002) before ordering</t>
        </is>
      </c>
    </row>
    <row r="3">
      <c r="A3" t="inlineStr">
        <is>
          <t>rs00</t>
        </is>
      </c>
      <c r="B3" s="2" t="inlineStr">
        <is>
          <t>Robstride RS00 14 N·m actuator</t>
        </is>
      </c>
      <c r="C3" t="inlineStr">
        <is>
          <t>RS00</t>
        </is>
      </c>
      <c r="D3" t="inlineStr">
        <is>
          <t>to buy</t>
        </is>
      </c>
      <c r="E3" s="9" t="n">
        <v>2</v>
      </c>
      <c r="F3" s="9" t="n">
        <v>0</v>
      </c>
      <c r="G3" s="16" t="n">
        <v>138.99</v>
      </c>
      <c r="H3" s="16">
        <f>(E3+F3)*G3</f>
        <v>277.98</v>
      </c>
      <c r="I3" s="2" t="inlineStr">
        <is>
          <t>Seeed 2026-10-29: $138.99 each, $131.99 at 10+, in stock (RobStride list $125)</t>
        </is>
      </c>
      <c r="J3" s="11" t="inlineStr">
        <is>
          <t>https://www.seeedstudio.com/Robostride-00-Actuator-p-6664.html</t>
        </is>
      </c>
      <c r="K3" s="2" t="inlineStr">
        <is>
          <t>wrist yaw</t>
        </is>
      </c>
    </row>
    <row r="4">
      <c r="A4" t="inlineStr">
        <is>
          <t>rs03</t>
        </is>
      </c>
      <c r="B4" s="2" t="inlineStr">
        <is>
          <t>Robstride RS03 60 N·m actuator</t>
        </is>
      </c>
      <c r="C4" t="inlineStr">
        <is>
          <t>RS03</t>
        </is>
      </c>
      <c r="D4" t="inlineStr">
        <is>
          <t>to buy</t>
        </is>
      </c>
      <c r="E4" s="9" t="n">
        <v>11</v>
      </c>
      <c r="F4" s="9" t="n">
        <v>1</v>
      </c>
      <c r="G4" s="16" t="n">
        <v>225</v>
      </c>
      <c r="H4" s="16">
        <f>(E4+F4)*G4</f>
        <v>2700</v>
      </c>
      <c r="I4" s="2" t="inlineStr">
        <is>
          <t>Seeed 2026-10-29: $225 each, $214 at 10+, in stock (RobStride list $225)</t>
        </is>
      </c>
      <c r="J4" s="11" t="inlineStr">
        <is>
          <t>https://www.seeedstudio.com/Robostride-03-Actuator-p-6774.html</t>
        </is>
      </c>
      <c r="K4" s="2" t="inlineStr">
        <is>
          <t>hip yaw and the two ankle motors, both legs; waist yaw; shoulder pitch and roll. Buy one first for the actuator bench test; 10 or more in one order get Seeed's $214 price</t>
        </is>
      </c>
    </row>
    <row r="5">
      <c r="A5" t="inlineStr">
        <is>
          <t>rs04</t>
        </is>
      </c>
      <c r="B5" s="2" t="inlineStr">
        <is>
          <t>Robstride RS04 120 N·m actuator</t>
        </is>
      </c>
      <c r="C5" t="inlineStr">
        <is>
          <t>RS04</t>
        </is>
      </c>
      <c r="D5" t="inlineStr">
        <is>
          <t>to buy</t>
        </is>
      </c>
      <c r="E5" s="9" t="n">
        <v>6</v>
      </c>
      <c r="F5" s="9" t="n">
        <v>1</v>
      </c>
      <c r="G5" s="16" t="n">
        <v>255</v>
      </c>
      <c r="H5" s="16">
        <f>(E5+F5)*G5</f>
        <v>1785</v>
      </c>
      <c r="I5" s="2" t="inlineStr">
        <is>
          <t>Seeed 2026-10-29: $255 each, $242 at 10+, in stock (RobStride list $255)</t>
        </is>
      </c>
      <c r="J5" s="11" t="inlineStr">
        <is>
          <t>https://www.seeedstudio.com/Robostride-04-Actuator-p-6775.html</t>
        </is>
      </c>
      <c r="K5" s="2" t="inlineStr">
        <is>
          <t>hip pitch, hip roll and knee, both legs; buy one first for the actuator bench test</t>
        </is>
      </c>
    </row>
    <row r="6">
      <c r="A6" t="inlineStr">
        <is>
          <t>rs06</t>
        </is>
      </c>
      <c r="B6" s="2" t="inlineStr">
        <is>
          <t>Robstride RS06 36 N·m actuator</t>
        </is>
      </c>
      <c r="C6" t="inlineStr">
        <is>
          <t>RS06</t>
        </is>
      </c>
      <c r="D6" t="inlineStr">
        <is>
          <t>to buy</t>
        </is>
      </c>
      <c r="E6" s="9" t="n">
        <v>4</v>
      </c>
      <c r="F6" s="9" t="n">
        <v>1</v>
      </c>
      <c r="G6" s="16" t="n">
        <v>210</v>
      </c>
      <c r="H6" s="16">
        <f>(E6+F6)*G6</f>
        <v>1050</v>
      </c>
      <c r="I6" s="2" t="inlineStr">
        <is>
          <t>Seeed 2026-10-29: $210 each, $200 at 10+, in stock (RobStride list $210)</t>
        </is>
      </c>
      <c r="J6" s="11" t="inlineStr">
        <is>
          <t>https://www.seeedstudio.com/Robostride-06-Actuator-p-6668.html</t>
        </is>
      </c>
      <c r="K6" s="2" t="inlineStr">
        <is>
          <t>shoulder yaw and elbow</t>
        </is>
      </c>
    </row>
    <row r="8">
      <c r="A8" s="5" t="n"/>
      <c r="B8" s="5" t="inlineStr">
        <is>
          <t>Total actuators</t>
        </is>
      </c>
      <c r="C8" s="5" t="n"/>
      <c r="D8" s="5" t="n"/>
      <c r="E8" s="5" t="n"/>
      <c r="F8" s="5" t="n"/>
      <c r="G8" s="5" t="n"/>
      <c r="H8" s="14">
        <f>SUM(H2:H6)</f>
        <v>6200.98</v>
      </c>
      <c r="I8" s="5" t="n"/>
      <c r="J8" s="5" t="n"/>
      <c r="K8" s="5" t="n"/>
    </row>
  </sheetData>
  <autoFilter ref="A1:K6"/>
  <dataValidations count="1">
    <dataValidation sqref="D2:D6" showDropDown="0" showInputMessage="0" showErrorMessage="0" allowBlank="0" error="Choose one of: to buy, ordered, owned" type="list">
      <formula1>"to buy,ordered,owned"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hand-kit</t>
        </is>
      </c>
      <c r="B2" s="2" t="inlineStr">
        <is>
          <t>AmazingHand open-source 8-DOF four-finger hand kit, left and right (8 Feetech SCS0009 servos each, 5 V)</t>
        </is>
      </c>
      <c r="D2" t="inlineStr">
        <is>
          <t>owned</t>
        </is>
      </c>
      <c r="E2" s="9" t="n">
        <v>2</v>
      </c>
      <c r="F2" s="9" t="n">
        <v>0</v>
      </c>
      <c r="G2" s="16" t="n">
        <v>99</v>
      </c>
      <c r="H2" s="16">
        <f>(E2+F2)*G2</f>
        <v>198</v>
      </c>
      <c r="I2" s="2" t="inlineStr">
        <is>
          <t>Seeed 2026-10-29: $99 each, $97 at 10+, in stock; SKUs 100062181 (left), 100063642 (right)</t>
        </is>
      </c>
      <c r="J2" s="11" t="inlineStr">
        <is>
          <t>https://www.seeedstudio.com/Amazing-Hand-Open-Source-3D-Printable-Robotic-Hand-Kit.html</t>
        </is>
      </c>
      <c r="K2" s="2" t="inlineStr">
        <is>
          <t>owned by this build; the listing does not say what is in the box, so check that servos are included. 0.40 kg each as published (weigh); its design is CC-BY-4.0, see ACKNOWLEDGMENTS.md</t>
        </is>
      </c>
    </row>
    <row r="3">
      <c r="A3" t="inlineStr">
        <is>
          <t>dcdc-hand</t>
        </is>
      </c>
      <c r="B3" s="2" t="inlineStr">
        <is>
          <t>DC-DC 12 V to 5 V, 3 A, small (in the wrist)</t>
        </is>
      </c>
      <c r="D3" t="inlineStr">
        <is>
          <t>to buy</t>
        </is>
      </c>
      <c r="E3" s="9" t="n">
        <v>2</v>
      </c>
      <c r="F3" s="9" t="n">
        <v>0</v>
      </c>
      <c r="G3" s="16" t="n">
        <v>8</v>
      </c>
      <c r="H3" s="16">
        <f>(E3+F3)*G3</f>
        <v>16</v>
      </c>
      <c r="I3" s="2" t="inlineStr">
        <is>
          <t>estimate</t>
        </is>
      </c>
      <c r="K3" s="2" t="inlineStr">
        <is>
          <t>one per hand: 8 SCS0009 servos at up to 0.3 A each</t>
        </is>
      </c>
    </row>
    <row r="4">
      <c r="A4" t="inlineStr">
        <is>
          <t>servo-adapter-hand</t>
        </is>
      </c>
      <c r="B4" s="2" t="inlineStr">
        <is>
          <t>Feetech serial-bus USB adapter (Waveshare Bus Servo Adapter (A) class)</t>
        </is>
      </c>
      <c r="D4" t="inlineStr">
        <is>
          <t>to buy</t>
        </is>
      </c>
      <c r="E4" s="9" t="n">
        <v>2</v>
      </c>
      <c r="F4" s="9" t="n">
        <v>0</v>
      </c>
      <c r="G4" s="16" t="n">
        <v>5</v>
      </c>
      <c r="H4" s="16">
        <f>(E4+F4)*G4</f>
        <v>10</v>
      </c>
      <c r="I4" s="2" t="inlineStr">
        <is>
          <t>Waveshare 2026-10-29: $4.99 (SKU 25514)</t>
        </is>
      </c>
      <c r="J4" s="11" t="inlineStr">
        <is>
          <t>https://www.waveshare.com/bus-servo-adapter-a.htm</t>
        </is>
      </c>
      <c r="K4" s="2" t="inlineStr">
        <is>
          <t>one bus per hand: SCS0009 servos use Feetech's SCS protocol, the STS3250s its STS protocol; the hand kit's own driver board may do instead</t>
        </is>
      </c>
    </row>
    <row r="6">
      <c r="A6" s="5" t="n"/>
      <c r="B6" s="5" t="inlineStr">
        <is>
          <t>Total hands</t>
        </is>
      </c>
      <c r="C6" s="5" t="n"/>
      <c r="D6" s="5" t="n"/>
      <c r="E6" s="5" t="n"/>
      <c r="F6" s="5" t="n"/>
      <c r="G6" s="5" t="n"/>
      <c r="H6" s="14">
        <f>SUM(H2:H4)</f>
        <v>224</v>
      </c>
      <c r="I6" s="5" t="n"/>
      <c r="J6" s="5" t="n"/>
      <c r="K6" s="5" t="n"/>
    </row>
  </sheetData>
  <autoFilter ref="A1:K4"/>
  <dataValidations count="1">
    <dataValidation sqref="D2:D4" showDropDown="0" showInputMessage="0" showErrorMessage="0" allowBlank="0" error="Choose one of: to buy, ordered, owned" type="list">
      <formula1>"to buy,ordered,owned"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compute</t>
        </is>
      </c>
      <c r="B2" s="2" t="inlineStr">
        <is>
          <t>Jetson AGX Orin 64 GB developer kit</t>
        </is>
      </c>
      <c r="D2" t="inlineStr">
        <is>
          <t>owned</t>
        </is>
      </c>
      <c r="E2" s="9" t="n">
        <v>1</v>
      </c>
      <c r="F2" s="9" t="n">
        <v>0</v>
      </c>
      <c r="G2" s="16" t="n">
        <v>3499</v>
      </c>
      <c r="H2" s="16">
        <f>(E2+F2)*G2</f>
        <v>3499</v>
      </c>
      <c r="I2" s="2" t="inlineStr">
        <is>
          <t>NVIDIA list price since July 2026 (was $1,999); SparkFun 2026-10-29: $3,499, backorder</t>
        </is>
      </c>
      <c r="J2" s="11" t="inlineStr">
        <is>
          <t>https://marketplace.nvidia.com/en-us/enterprise/robotics-edge/jetson-agx-orin-developer-kit/</t>
        </is>
      </c>
      <c r="K2" s="2" t="inlineStr">
        <is>
          <t>owned by this build; a replicator buys it</t>
        </is>
      </c>
    </row>
    <row r="3">
      <c r="A3" t="inlineStr">
        <is>
          <t>imu-backup</t>
        </is>
      </c>
      <c r="B3" s="2" t="inlineStr">
        <is>
          <t>Low-cost USB AHRS IMU</t>
        </is>
      </c>
      <c r="D3" t="inlineStr">
        <is>
          <t>owned</t>
        </is>
      </c>
      <c r="E3" s="9" t="n">
        <v>1</v>
      </c>
      <c r="F3" s="9" t="n">
        <v>0</v>
      </c>
      <c r="G3" s="16" t="n">
        <v>35</v>
      </c>
      <c r="H3" s="16">
        <f>(E3+F3)*G3</f>
        <v>35</v>
      </c>
      <c r="I3" s="2" t="inlineStr">
        <is>
          <t>estimate</t>
        </is>
      </c>
      <c r="K3" s="2" t="inlineStr">
        <is>
          <t>backup IMU and bench use</t>
        </is>
      </c>
    </row>
    <row r="4">
      <c r="A4" t="inlineStr">
        <is>
          <t>nvme</t>
        </is>
      </c>
      <c r="B4" s="2" t="inlineStr">
        <is>
          <t>NVMe SSD, 1 TB, M.2 2280</t>
        </is>
      </c>
      <c r="D4" t="inlineStr">
        <is>
          <t>to buy</t>
        </is>
      </c>
      <c r="E4" s="9" t="n">
        <v>1</v>
      </c>
      <c r="F4" s="9" t="n">
        <v>0</v>
      </c>
      <c r="G4" s="16" t="n">
        <v>100</v>
      </c>
      <c r="H4" s="16">
        <f>(E4+F4)*G4</f>
        <v>100</v>
      </c>
      <c r="I4" s="2" t="inlineStr">
        <is>
          <t>estimate</t>
        </is>
      </c>
      <c r="K4" s="2" t="inlineStr">
        <is>
          <t>the dev kit's 64 GB eMMC is too small for logs and datasets</t>
        </is>
      </c>
    </row>
    <row r="5">
      <c r="A5" t="inlineStr">
        <is>
          <t>camera</t>
        </is>
      </c>
      <c r="B5" s="2" t="inlineStr">
        <is>
          <t>Orbbec Gemini 335L depth camera</t>
        </is>
      </c>
      <c r="D5" t="inlineStr">
        <is>
          <t>to buy</t>
        </is>
      </c>
      <c r="E5" s="9" t="n">
        <v>1</v>
      </c>
      <c r="F5" s="9" t="n">
        <v>0</v>
      </c>
      <c r="G5" s="16" t="n">
        <v>359</v>
      </c>
      <c r="H5" s="16">
        <f>(E5+F5)*G5</f>
        <v>359</v>
      </c>
      <c r="I5" s="2" t="inlineStr">
        <is>
          <t>Orbbec store list $359 (store page rate-limited 2026-10-29); RobotShop US $413 with tariffs</t>
        </is>
      </c>
      <c r="J5" s="11" t="inlineStr">
        <is>
          <t>https://store.orbbec.com/products/gemini-335l</t>
        </is>
      </c>
      <c r="K5" s="2" t="inlineStr">
        <is>
          <t>check the JetPack 7.2 driver before ordering</t>
        </is>
      </c>
    </row>
    <row r="6">
      <c r="A6" t="inlineStr">
        <is>
          <t>imu</t>
        </is>
      </c>
      <c r="B6" s="2" t="inlineStr">
        <is>
          <t>Primary IMU (industrial AHRS; or BMI088 on a microcontroller)</t>
        </is>
      </c>
      <c r="D6" t="inlineStr">
        <is>
          <t>to buy</t>
        </is>
      </c>
      <c r="E6" s="9" t="n">
        <v>1</v>
      </c>
      <c r="F6" s="9" t="n">
        <v>0</v>
      </c>
      <c r="G6" s="16" t="n">
        <v>730</v>
      </c>
      <c r="H6" s="16">
        <f>(E6+F6)*G6</f>
        <v>730</v>
      </c>
      <c r="I6" s="2" t="inlineStr">
        <is>
          <t>distributor 2026-10</t>
        </is>
      </c>
      <c r="K6" s="2" t="inlineStr">
        <is>
          <t>decide after bench test; the existing USB AHRS IMU is the backup</t>
        </is>
      </c>
    </row>
    <row r="8">
      <c r="A8" s="5" t="n"/>
      <c r="B8" s="5" t="inlineStr">
        <is>
          <t>Total compute &amp; sensors</t>
        </is>
      </c>
      <c r="C8" s="5" t="n"/>
      <c r="D8" s="5" t="n"/>
      <c r="E8" s="5" t="n"/>
      <c r="F8" s="5" t="n"/>
      <c r="G8" s="5" t="n"/>
      <c r="H8" s="14">
        <f>SUM(H2:H6)</f>
        <v>4723</v>
      </c>
      <c r="I8" s="5" t="n"/>
      <c r="J8" s="5" t="n"/>
      <c r="K8" s="5" t="n"/>
    </row>
  </sheetData>
  <autoFilter ref="A1:K6"/>
  <dataValidations count="1">
    <dataValidation sqref="D2:D6" showDropDown="0" showInputMessage="0" showErrorMessage="0" allowBlank="0" error="Choose one of: to buy, ordered, owned" type="list">
      <formula1>"to buy,ordered,owned"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5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charger</t>
        </is>
      </c>
      <c r="B2" s="2" t="inlineStr">
        <is>
          <t>13S charger adjustable to 4.1 V per cell</t>
        </is>
      </c>
      <c r="D2" t="inlineStr">
        <is>
          <t>to buy</t>
        </is>
      </c>
      <c r="E2" s="9" t="n">
        <v>1</v>
      </c>
      <c r="F2" s="9" t="n">
        <v>0</v>
      </c>
      <c r="G2" s="16" t="n">
        <v>300</v>
      </c>
      <c r="H2" s="16">
        <f>(E2+F2)*G2</f>
        <v>300</v>
      </c>
      <c r="I2" s="2" t="inlineStr">
        <is>
          <t>reseller 2026-10</t>
        </is>
      </c>
      <c r="K2" s="2" t="inlineStr">
        <is>
          <t>daily charging at 4.1 V per cell</t>
        </is>
      </c>
    </row>
    <row r="3">
      <c r="A3" t="inlineStr">
        <is>
          <t>bms</t>
        </is>
      </c>
      <c r="B3" s="2" t="inlineStr">
        <is>
          <t>13S smart BMS 150 A with CAN telemetry</t>
        </is>
      </c>
      <c r="D3" t="inlineStr">
        <is>
          <t>to buy</t>
        </is>
      </c>
      <c r="E3" s="9" t="n">
        <v>1</v>
      </c>
      <c r="F3" s="9" t="n">
        <v>0</v>
      </c>
      <c r="G3" s="16" t="n">
        <v>145</v>
      </c>
      <c r="H3" s="16">
        <f>(E3+F3)*G3</f>
        <v>145</v>
      </c>
      <c r="I3" s="2" t="inlineStr">
        <is>
          <t>2026-10-29: JK 8-24S 150 A $145 (18650 Battery Store, sold out); Daly 13S 150 A with CAN also sold</t>
        </is>
      </c>
      <c r="J3" s="11" t="inlineStr">
        <is>
          <t>https://www.18650batterystore.com/products/jk-b2a24s15p-bms</t>
        </is>
      </c>
      <c r="K3" s="2" t="inlineStr">
        <is>
          <t>check its CAN protocol and precharge support</t>
        </is>
      </c>
    </row>
    <row r="4">
      <c r="A4" t="inlineStr">
        <is>
          <t>psu-bench</t>
        </is>
      </c>
      <c r="B4" s="2" t="inlineStr">
        <is>
          <t>48 V 20 A bench power supply</t>
        </is>
      </c>
      <c r="D4" t="inlineStr">
        <is>
          <t>to buy</t>
        </is>
      </c>
      <c r="E4" s="9" t="n">
        <v>1</v>
      </c>
      <c r="F4" s="9" t="n">
        <v>0</v>
      </c>
      <c r="G4" s="16" t="n">
        <v>250</v>
      </c>
      <c r="H4" s="16">
        <f>(E4+F4)*G4</f>
        <v>250</v>
      </c>
      <c r="I4" s="2" t="inlineStr">
        <is>
          <t>estimate</t>
        </is>
      </c>
      <c r="K4" s="2" t="inlineStr">
        <is>
          <t>for bench and gantry tests</t>
        </is>
      </c>
    </row>
    <row r="5">
      <c r="A5" t="inlineStr">
        <is>
          <t>batt-conn</t>
        </is>
      </c>
      <c r="B5" s="2" t="inlineStr">
        <is>
          <t>Anti-spark blind-mate battery connector (AS150 class)</t>
        </is>
      </c>
      <c r="D5" t="inlineStr">
        <is>
          <t>to buy</t>
        </is>
      </c>
      <c r="E5" s="9" t="n">
        <v>2</v>
      </c>
      <c r="F5" s="9" t="n">
        <v>0</v>
      </c>
      <c r="G5" s="16" t="n">
        <v>15</v>
      </c>
      <c r="H5" s="16">
        <f>(E5+F5)*G5</f>
        <v>30</v>
      </c>
      <c r="I5" s="2" t="inlineStr">
        <is>
          <t>estimate</t>
        </is>
      </c>
      <c r="K5" s="2" t="inlineStr">
        <is>
          <t>one on the pack and one on the cradle</t>
        </is>
      </c>
    </row>
    <row r="6">
      <c r="A6" t="inlineStr">
        <is>
          <t>fuse</t>
        </is>
      </c>
      <c r="B6" s="2" t="inlineStr">
        <is>
          <t>Class-T fuse 100-125 A with holder; limb branch fuses</t>
        </is>
      </c>
      <c r="D6" t="inlineStr">
        <is>
          <t>to buy</t>
        </is>
      </c>
      <c r="E6" s="9" t="n">
        <v>1</v>
      </c>
      <c r="F6" s="9" t="n">
        <v>0</v>
      </c>
      <c r="G6" s="16" t="n">
        <v>60</v>
      </c>
      <c r="H6" s="16">
        <f>(E6+F6)*G6</f>
        <v>60</v>
      </c>
      <c r="I6" s="2" t="inlineStr">
        <is>
          <t>estimate</t>
        </is>
      </c>
      <c r="K6" s="2" t="n"/>
    </row>
    <row r="7">
      <c r="A7" t="inlineStr">
        <is>
          <t>dcdc-servo</t>
        </is>
      </c>
      <c r="B7" s="2" t="inlineStr">
        <is>
          <t>DC-DC 48 V to 12 V, 10 A, compact (at most 60 x 34 x 25 mm)</t>
        </is>
      </c>
      <c r="D7" t="inlineStr">
        <is>
          <t>to buy</t>
        </is>
      </c>
      <c r="E7" s="9" t="n">
        <v>1</v>
      </c>
      <c r="F7" s="9" t="n">
        <v>0</v>
      </c>
      <c r="G7" s="16" t="n">
        <v>60</v>
      </c>
      <c r="H7" s="16">
        <f>(E7+F7)*G7</f>
        <v>60</v>
      </c>
      <c r="I7" s="2" t="inlineStr">
        <is>
          <t>estimate</t>
        </is>
      </c>
      <c r="K7" s="2" t="inlineStr">
        <is>
          <t>the pelvis channel under the waist motor has room for 60 x 34 x 25 mm; a chassis-mount 150 W module does not fit</t>
        </is>
      </c>
    </row>
    <row r="8">
      <c r="A8" t="inlineStr">
        <is>
          <t>dcdc-compute</t>
        </is>
      </c>
      <c r="B8" s="2" t="inlineStr">
        <is>
          <t>DC-DC 75 V-input to 19-20 V; at least 120 W (computer)</t>
        </is>
      </c>
      <c r="D8" t="inlineStr">
        <is>
          <t>to buy</t>
        </is>
      </c>
      <c r="E8" s="9" t="n">
        <v>1</v>
      </c>
      <c r="F8" s="9" t="n">
        <v>0</v>
      </c>
      <c r="G8" s="16" t="n">
        <v>80</v>
      </c>
      <c r="H8" s="16">
        <f>(E8+F8)*G8</f>
        <v>80</v>
      </c>
      <c r="I8" s="2" t="inlineStr">
        <is>
          <t>estimate</t>
        </is>
      </c>
      <c r="K8" s="2" t="inlineStr">
        <is>
          <t>upstream of the contactor</t>
        </is>
      </c>
    </row>
    <row r="9">
      <c r="A9" t="inlineStr">
        <is>
          <t>ideal-diode</t>
        </is>
      </c>
      <c r="B9" s="2" t="inlineStr">
        <is>
          <t>Ideal-diode OR circuit (LTC4359 class) for the computer rail</t>
        </is>
      </c>
      <c r="D9" t="inlineStr">
        <is>
          <t>to buy</t>
        </is>
      </c>
      <c r="E9" s="9" t="n">
        <v>1</v>
      </c>
      <c r="F9" s="9" t="n">
        <v>0</v>
      </c>
      <c r="G9" s="16" t="n">
        <v>40</v>
      </c>
      <c r="H9" s="16">
        <f>(E9+F9)*G9</f>
        <v>40</v>
      </c>
      <c r="I9" s="2" t="inlineStr">
        <is>
          <t>estimate</t>
        </is>
      </c>
      <c r="K9" s="2" t="n"/>
    </row>
    <row r="10">
      <c r="A10" t="inlineStr">
        <is>
          <t>keepalive</t>
        </is>
      </c>
      <c r="B10" s="2" t="inlineStr">
        <is>
          <t>Keep-alive battery 50-100 Wh for the computer</t>
        </is>
      </c>
      <c r="D10" t="inlineStr">
        <is>
          <t>to buy</t>
        </is>
      </c>
      <c r="E10" s="9" t="n">
        <v>1</v>
      </c>
      <c r="F10" s="9" t="n">
        <v>0</v>
      </c>
      <c r="G10" s="16" t="n">
        <v>80</v>
      </c>
      <c r="H10" s="16">
        <f>(E10+F10)*G10</f>
        <v>80</v>
      </c>
      <c r="I10" s="2" t="inlineStr">
        <is>
          <t>estimate</t>
        </is>
      </c>
      <c r="K10" s="2" t="inlineStr">
        <is>
          <t>lets the computer stay up during a pack swap</t>
        </is>
      </c>
    </row>
    <row r="11">
      <c r="A11" t="inlineStr">
        <is>
          <t>contactor</t>
        </is>
      </c>
      <c r="B11" s="2" t="inlineStr">
        <is>
          <t>Main contactor (48 V DC rated)</t>
        </is>
      </c>
      <c r="D11" t="inlineStr">
        <is>
          <t>to buy</t>
        </is>
      </c>
      <c r="E11" s="9" t="n">
        <v>1</v>
      </c>
      <c r="F11" s="9" t="n">
        <v>0</v>
      </c>
      <c r="G11" s="16" t="n">
        <v>60</v>
      </c>
      <c r="H11" s="16">
        <f>(E11+F11)*G11</f>
        <v>60</v>
      </c>
      <c r="I11" s="2" t="inlineStr">
        <is>
          <t>estimate</t>
        </is>
      </c>
      <c r="K11" s="2" t="inlineStr">
        <is>
          <t>opened by the e-stop chain</t>
        </is>
      </c>
    </row>
    <row r="12">
      <c r="A12" t="inlineStr">
        <is>
          <t>cells</t>
        </is>
      </c>
      <c r="B12" s="2" t="inlineStr">
        <is>
          <t>Molicel P45B 21700 cells</t>
        </is>
      </c>
      <c r="D12" t="inlineStr">
        <is>
          <t>to buy</t>
        </is>
      </c>
      <c r="E12" s="9" t="n">
        <v>39</v>
      </c>
      <c r="F12" s="9" t="n">
        <v>0</v>
      </c>
      <c r="G12" s="16" t="n">
        <v>9.949999999999999</v>
      </c>
      <c r="H12" s="16">
        <f>(E12+F12)*G12</f>
        <v>388.05</v>
      </c>
      <c r="I12" s="2" t="inlineStr">
        <is>
          <t>2026-10-29: $9.95 (Batteries in a Flash, in stock); 18650 Battery Store $9.99 regular</t>
        </is>
      </c>
      <c r="J12" s="11" t="inlineStr">
        <is>
          <t>https://www.18650batterystore.com/products/molicel-p45b</t>
        </is>
      </c>
      <c r="K12" s="2" t="inlineStr">
        <is>
          <t>13S3P pack ~630 Wh; buy from an authorised dealer</t>
        </is>
      </c>
    </row>
    <row r="13">
      <c r="A13" t="inlineStr">
        <is>
          <t>pack-hw</t>
        </is>
      </c>
      <c r="B13" s="2" t="inlineStr">
        <is>
          <t>Pack housing; nickel strip; quick-release cradle</t>
        </is>
      </c>
      <c r="D13" t="inlineStr">
        <is>
          <t>to buy</t>
        </is>
      </c>
      <c r="E13" s="9" t="n">
        <v>1</v>
      </c>
      <c r="F13" s="9" t="n">
        <v>0</v>
      </c>
      <c r="G13" s="16" t="n">
        <v>80</v>
      </c>
      <c r="H13" s="16">
        <f>(E13+F13)*G13</f>
        <v>80</v>
      </c>
      <c r="I13" s="2" t="inlineStr">
        <is>
          <t>estimate</t>
        </is>
      </c>
      <c r="K13" s="2" t="n"/>
    </row>
    <row r="14">
      <c r="A14" t="inlineStr">
        <is>
          <t>precharge</t>
        </is>
      </c>
      <c r="B14" s="2" t="inlineStr">
        <is>
          <t>Precharge resistor and relay</t>
        </is>
      </c>
      <c r="D14" t="inlineStr">
        <is>
          <t>to buy</t>
        </is>
      </c>
      <c r="E14" s="9" t="n">
        <v>1</v>
      </c>
      <c r="F14" s="9" t="n">
        <v>0</v>
      </c>
      <c r="G14" s="16" t="n">
        <v>20</v>
      </c>
      <c r="H14" s="16">
        <f>(E14+F14)*G14</f>
        <v>20</v>
      </c>
      <c r="I14" s="2" t="inlineStr">
        <is>
          <t>estimate</t>
        </is>
      </c>
      <c r="K14" s="2" t="n"/>
    </row>
    <row r="15">
      <c r="A15" t="inlineStr">
        <is>
          <t>regen-clamp</t>
        </is>
      </c>
      <c r="B15" s="2" t="inlineStr">
        <is>
          <t>Regen clamp (brake resistor chopper or TVS ~56-58 V)</t>
        </is>
      </c>
      <c r="D15" t="inlineStr">
        <is>
          <t>to buy</t>
        </is>
      </c>
      <c r="E15" s="9" t="n">
        <v>1</v>
      </c>
      <c r="F15" s="9" t="n">
        <v>0</v>
      </c>
      <c r="G15" s="16" t="n">
        <v>40</v>
      </c>
      <c r="H15" s="16">
        <f>(E15+F15)*G15</f>
        <v>40</v>
      </c>
      <c r="I15" s="2" t="inlineStr">
        <is>
          <t>estimate</t>
        </is>
      </c>
      <c r="K15" s="2" t="inlineStr">
        <is>
          <t>needed whenever a bench supply is used</t>
        </is>
      </c>
    </row>
    <row r="17">
      <c r="A17" s="5" t="n"/>
      <c r="B17" s="5" t="inlineStr">
        <is>
          <t>Total power</t>
        </is>
      </c>
      <c r="C17" s="5" t="n"/>
      <c r="D17" s="5" t="n"/>
      <c r="E17" s="5" t="n"/>
      <c r="F17" s="5" t="n"/>
      <c r="G17" s="5" t="n"/>
      <c r="H17" s="14">
        <f>SUM(H2:H15)</f>
        <v>1633.05</v>
      </c>
      <c r="I17" s="5" t="n"/>
      <c r="J17" s="5" t="n"/>
      <c r="K17" s="5" t="n"/>
    </row>
  </sheetData>
  <autoFilter ref="A1:K15"/>
  <dataValidations count="1">
    <dataValidation sqref="D2:D15" showDropDown="0" showInputMessage="0" showErrorMessage="0" allowBlank="0" error="Choose one of: to buy, ordered, owned" type="list">
      <formula1>"to buy,ordered,owned"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1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can-xcvr</t>
        </is>
      </c>
      <c r="B2" s="2" t="inlineStr">
        <is>
          <t>3.3 V CAN transceiver boards for the Orin's on-board CAN</t>
        </is>
      </c>
      <c r="D2" t="inlineStr">
        <is>
          <t>to buy</t>
        </is>
      </c>
      <c r="E2" s="9" t="n">
        <v>2</v>
      </c>
      <c r="F2" s="9" t="n">
        <v>0</v>
      </c>
      <c r="G2" s="16" t="n">
        <v>10</v>
      </c>
      <c r="H2" s="16">
        <f>(E2+F2)*G2</f>
        <v>20</v>
      </c>
      <c r="I2" s="2" t="inlineStr">
        <is>
          <t>estimate</t>
        </is>
      </c>
      <c r="K2" s="2" t="inlineStr">
        <is>
          <t>arm buses</t>
        </is>
      </c>
    </row>
    <row r="3">
      <c r="A3" t="inlineStr">
        <is>
          <t>usb-hub</t>
        </is>
      </c>
      <c r="B3" s="2" t="inlineStr">
        <is>
          <t>Compact USB 3 hub, 4-port</t>
        </is>
      </c>
      <c r="D3" t="inlineStr">
        <is>
          <t>to buy</t>
        </is>
      </c>
      <c r="E3" s="9" t="n">
        <v>1</v>
      </c>
      <c r="F3" s="9" t="n">
        <v>0</v>
      </c>
      <c r="G3" s="16" t="n">
        <v>30</v>
      </c>
      <c r="H3" s="16">
        <f>(E3+F3)*G3</f>
        <v>30</v>
      </c>
      <c r="I3" s="2" t="inlineStr">
        <is>
          <t>estimate</t>
        </is>
      </c>
      <c r="K3" s="2" t="inlineStr">
        <is>
          <t>the dev kit has 4 USB-A and 2 USB-C ports; the robot uses 3 CAN adapters, 3 servo adapters, the camera, the IMU and the gamepad receiver</t>
        </is>
      </c>
    </row>
    <row r="4">
      <c r="A4" t="inlineStr">
        <is>
          <t>servo-adapter</t>
        </is>
      </c>
      <c r="B4" s="2" t="inlineStr">
        <is>
          <t>Feetech serial-bus USB adapter (Waveshare Bus Servo Adapter (A) class)</t>
        </is>
      </c>
      <c r="D4" t="inlineStr">
        <is>
          <t>to buy</t>
        </is>
      </c>
      <c r="E4" s="9" t="n">
        <v>1</v>
      </c>
      <c r="F4" s="9" t="n">
        <v>0</v>
      </c>
      <c r="G4" s="16" t="n">
        <v>5</v>
      </c>
      <c r="H4" s="16">
        <f>(E4+F4)*G4</f>
        <v>5</v>
      </c>
      <c r="I4" s="2" t="inlineStr">
        <is>
          <t>Waveshare 2026-10-29: $4.99 (SKU 25514)</t>
        </is>
      </c>
      <c r="J4" s="11" t="inlineStr">
        <is>
          <t>https://www.waveshare.com/bus-servo-adapter-a.htm</t>
        </is>
      </c>
      <c r="K4" s="2" t="inlineStr">
        <is>
          <t>STS3250 bus (neck and wrist pitch)</t>
        </is>
      </c>
    </row>
    <row r="5">
      <c r="A5" t="inlineStr">
        <is>
          <t>can-usb-dual</t>
        </is>
      </c>
      <c r="B5" s="2" t="inlineStr">
        <is>
          <t>Isolated USB-CAN adapter, dual channel (InnoMaker USB2CAN-X2 class; SocketCAN)</t>
        </is>
      </c>
      <c r="D5" t="inlineStr">
        <is>
          <t>to buy</t>
        </is>
      </c>
      <c r="E5" s="9" t="n">
        <v>2</v>
      </c>
      <c r="F5" s="9" t="n">
        <v>0</v>
      </c>
      <c r="G5" s="16" t="n">
        <v>130</v>
      </c>
      <c r="H5" s="16">
        <f>(E5+F5)*G5</f>
        <v>260</v>
      </c>
      <c r="I5" s="2" t="inlineStr">
        <is>
          <t>unconfirmed 2026-10-29: no live US listing found; ~$126 (AED 462) at a UAE marketplace</t>
        </is>
      </c>
      <c r="J5" s="11" t="inlineStr">
        <is>
          <t>https://github.com/INNO-MAKER/usb2can</t>
        </is>
      </c>
      <c r="K5" s="2" t="inlineStr">
        <is>
          <t>one per leg (hip and shank buses), 3 kV isolation per its manual; with can-usb-batt and the Orin's two on-board ports (arm buses) this covers all 7 CAN buses in robot.yaml in the 3 adapter outlines of the electronics bay</t>
        </is>
      </c>
    </row>
    <row r="6">
      <c r="A6" t="inlineStr">
        <is>
          <t>can-usb-single</t>
        </is>
      </c>
      <c r="B6" s="2" t="inlineStr">
        <is>
          <t>Isolated USB-CAN adapter, single channel (CANable Pro class; candleLight / gs_usb)</t>
        </is>
      </c>
      <c r="D6" t="inlineStr">
        <is>
          <t>to buy</t>
        </is>
      </c>
      <c r="E6" s="9" t="n">
        <v>2</v>
      </c>
      <c r="F6" s="9" t="n">
        <v>0</v>
      </c>
      <c r="G6" s="16" t="n">
        <v>60</v>
      </c>
      <c r="H6" s="16">
        <f>(E6+F6)*G6</f>
        <v>120</v>
      </c>
      <c r="I6" s="2" t="inlineStr">
        <is>
          <t>reseller listing 2026-10-29, unverified: CANable Pro $60, Pro 1.1 (5 kV) $70</t>
        </is>
      </c>
      <c r="J6" s="11" t="inlineStr">
        <is>
          <t>https://reach.dog/shop/openlight-labs/products/canable-pro-isolated-usb-to-can-adapter</t>
        </is>
      </c>
      <c r="K6" s="2" t="inlineStr">
        <is>
          <t>one for the battery (BMS) bus, one for the actuator bench rig</t>
        </is>
      </c>
    </row>
    <row r="7">
      <c r="A7" t="inlineStr">
        <is>
          <t>limb-conn</t>
        </is>
      </c>
      <c r="B7" s="2" t="inlineStr">
        <is>
          <t>Limb-root connectors: XT60-class power pair and latching signal pair, per limb</t>
        </is>
      </c>
      <c r="D7" t="inlineStr">
        <is>
          <t>to buy</t>
        </is>
      </c>
      <c r="E7" s="9" t="n">
        <v>4</v>
      </c>
      <c r="F7" s="9" t="n">
        <v>0</v>
      </c>
      <c r="G7" s="16" t="n">
        <v>12</v>
      </c>
      <c r="H7" s="16">
        <f>(E7+F7)*G7</f>
        <v>48</v>
      </c>
      <c r="I7" s="2" t="inlineStr">
        <is>
          <t>estimate</t>
        </is>
      </c>
      <c r="K7" s="2" t="inlineStr">
        <is>
          <t>on the bulkheads beside each limb's first flange</t>
        </is>
      </c>
    </row>
    <row r="8">
      <c r="A8" t="inlineStr">
        <is>
          <t>can-robstride-dbg</t>
        </is>
      </c>
      <c r="B8" s="2" t="inlineStr">
        <is>
          <t>RobStride USB-to-CAN debug adapter (official GUI tool)</t>
        </is>
      </c>
      <c r="D8" t="inlineStr">
        <is>
          <t>to buy</t>
        </is>
      </c>
      <c r="E8" s="9" t="n">
        <v>1</v>
      </c>
      <c r="F8" s="9" t="n">
        <v>0</v>
      </c>
      <c r="G8" s="16" t="n">
        <v>15</v>
      </c>
      <c r="H8" s="16">
        <f>(E8+F8)*G8</f>
        <v>15</v>
      </c>
      <c r="I8" s="2" t="inlineStr">
        <is>
          <t>Seeed listing 2026-10, unverified: $15 each, $14 at 10+</t>
        </is>
      </c>
      <c r="J8" s="11" t="inlineStr">
        <is>
          <t>https://www.seeedstudio.com/Robostride-CAN-USB-Driver-Board-p-6708.html</t>
        </is>
      </c>
      <c r="K8" s="2" t="inlineStr">
        <is>
          <t>for RobStride's configuration GUI (IDs, firmware); check whether it works as a SocketCAN bus before using it on the robot</t>
        </is>
      </c>
    </row>
    <row r="9">
      <c r="A9" t="inlineStr">
        <is>
          <t>harness</t>
        </is>
      </c>
      <c r="B9" s="2" t="inlineStr">
        <is>
          <t>Silicone wire; connectors; strain relief; sleeving</t>
        </is>
      </c>
      <c r="D9" t="inlineStr">
        <is>
          <t>to buy</t>
        </is>
      </c>
      <c r="E9" s="9" t="n">
        <v>1</v>
      </c>
      <c r="F9" s="9" t="n">
        <v>0</v>
      </c>
      <c r="G9" s="16" t="n">
        <v>200</v>
      </c>
      <c r="H9" s="16">
        <f>(E9+F9)*G9</f>
        <v>200</v>
      </c>
      <c r="I9" s="2" t="inlineStr">
        <is>
          <t>estimate</t>
        </is>
      </c>
      <c r="K9" s="2" t="n"/>
    </row>
    <row r="10">
      <c r="A10" t="inlineStr">
        <is>
          <t>can-cable</t>
        </is>
      </c>
      <c r="B10" s="2" t="inlineStr">
        <is>
          <t>Twisted-pair CAN cable, connectors and 120 Ω terminations</t>
        </is>
      </c>
      <c r="D10" t="inlineStr">
        <is>
          <t>to buy</t>
        </is>
      </c>
      <c r="E10" s="9" t="n">
        <v>1</v>
      </c>
      <c r="F10" s="9" t="n">
        <v>0</v>
      </c>
      <c r="G10" s="16" t="n">
        <v>50</v>
      </c>
      <c r="H10" s="16">
        <f>(E10+F10)*G10</f>
        <v>50</v>
      </c>
      <c r="I10" s="2" t="inlineStr">
        <is>
          <t>estimate</t>
        </is>
      </c>
      <c r="K10" s="2" t="n"/>
    </row>
    <row r="11">
      <c r="A11" t="inlineStr">
        <is>
          <t>gamepad</t>
        </is>
      </c>
      <c r="B11" s="2" t="inlineStr">
        <is>
          <t>Wireless gamepad</t>
        </is>
      </c>
      <c r="D11" t="inlineStr">
        <is>
          <t>to buy</t>
        </is>
      </c>
      <c r="E11" s="9" t="n">
        <v>1</v>
      </c>
      <c r="F11" s="9" t="n">
        <v>0</v>
      </c>
      <c r="G11" s="16" t="n">
        <v>60</v>
      </c>
      <c r="H11" s="16">
        <f>(E11+F11)*G11</f>
        <v>60</v>
      </c>
      <c r="I11" s="2" t="inlineStr">
        <is>
          <t>estimate</t>
        </is>
      </c>
      <c r="K11" s="2" t="n"/>
    </row>
    <row r="13">
      <c r="A13" s="5" t="n"/>
      <c r="B13" s="5" t="inlineStr">
        <is>
          <t>Total electronics &amp; wiring</t>
        </is>
      </c>
      <c r="C13" s="5" t="n"/>
      <c r="D13" s="5" t="n"/>
      <c r="E13" s="5" t="n"/>
      <c r="F13" s="5" t="n"/>
      <c r="G13" s="5" t="n"/>
      <c r="H13" s="14">
        <f>SUM(H2:H11)</f>
        <v>808</v>
      </c>
      <c r="I13" s="5" t="n"/>
      <c r="J13" s="5" t="n"/>
      <c r="K13" s="5" t="n"/>
    </row>
  </sheetData>
  <autoFilter ref="A1:K11"/>
  <dataValidations count="1">
    <dataValidation sqref="D2:D11" showDropDown="0" showInputMessage="0" showErrorMessage="0" allowBlank="0" error="Choose one of: to buy, ordered, owned" type="list">
      <formula1>"to buy,ordered,owned"</formula1>
    </dataValidation>
  </dataValidation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8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alu-6061</t>
        </is>
      </c>
      <c r="B2" s="2" t="inlineStr">
        <is>
          <t>6061-T6 aluminium plate and bar stock</t>
        </is>
      </c>
      <c r="D2" t="inlineStr">
        <is>
          <t>to buy</t>
        </is>
      </c>
      <c r="E2" s="9" t="n">
        <v>1</v>
      </c>
      <c r="F2" s="9" t="n">
        <v>0</v>
      </c>
      <c r="G2" s="16" t="n">
        <v>300</v>
      </c>
      <c r="H2" s="16">
        <f>(E2+F2)*G2</f>
        <v>300</v>
      </c>
      <c r="I2" s="2" t="inlineStr">
        <is>
          <t>estimate</t>
        </is>
      </c>
      <c r="K2" s="2" t="inlineStr">
        <is>
          <t>leg cores and brackets for both legs; about 6 kg of finished CNC 6061 across the robot (build_parts.csv)</t>
        </is>
      </c>
    </row>
    <row r="3">
      <c r="A3" t="inlineStr">
        <is>
          <t>bearing-6806</t>
        </is>
      </c>
      <c r="B3" s="2" t="inlineStr">
        <is>
          <t>6806-2RS thin-section ball bearing (30 x 42 x 7 mm) for far-side joint support</t>
        </is>
      </c>
      <c r="D3" t="inlineStr">
        <is>
          <t>to buy</t>
        </is>
      </c>
      <c r="E3" s="9" t="n">
        <v>6</v>
      </c>
      <c r="F3" s="9" t="n">
        <v>0</v>
      </c>
      <c r="G3" s="16" t="n">
        <v>10</v>
      </c>
      <c r="H3" s="16">
        <f>(E3+F3)*G3</f>
        <v>60</v>
      </c>
      <c r="I3" s="2" t="inlineStr">
        <is>
          <t>2026-10-29: $6.45 (Zoro, 61806-2RS) to CA$25.68 (VXB); budget grades ~$8</t>
        </is>
      </c>
      <c r="J3" s="11" t="inlineStr">
        <is>
          <t>https://www.zoro.com/ezo-deep-groove-30mm-bore-42mm-od-sealed-6806-2rsc0srl/i/G2080051</t>
        </is>
      </c>
      <c r="K3" s="2" t="inlineStr">
        <is>
          <t>hip roll, hip pitch and knee, both legs</t>
        </is>
      </c>
    </row>
    <row r="4">
      <c r="A4" t="inlineStr">
        <is>
          <t>alu-7075</t>
        </is>
      </c>
      <c r="B4" s="2" t="inlineStr">
        <is>
          <t>7075-T6 bar for highly loaded flanges and ankle cranks</t>
        </is>
      </c>
      <c r="D4" t="inlineStr">
        <is>
          <t>to buy</t>
        </is>
      </c>
      <c r="E4" s="9" t="n">
        <v>1</v>
      </c>
      <c r="F4" s="9" t="n">
        <v>0</v>
      </c>
      <c r="G4" s="16" t="n">
        <v>100</v>
      </c>
      <c r="H4" s="16">
        <f>(E4+F4)*G4</f>
        <v>100</v>
      </c>
      <c r="I4" s="2" t="inlineStr">
        <is>
          <t>estimate</t>
        </is>
      </c>
      <c r="K4" s="2" t="n"/>
    </row>
    <row r="5">
      <c r="A5" t="inlineStr">
        <is>
          <t>materials-upper</t>
        </is>
      </c>
      <c r="B5" s="2" t="inlineStr">
        <is>
          <t>Aluminium and filament for torso; arms; head</t>
        </is>
      </c>
      <c r="D5" t="inlineStr">
        <is>
          <t>to buy</t>
        </is>
      </c>
      <c r="E5" s="9" t="n">
        <v>1</v>
      </c>
      <c r="F5" s="9" t="n">
        <v>0</v>
      </c>
      <c r="G5" s="16" t="n">
        <v>250</v>
      </c>
      <c r="H5" s="16">
        <f>(E5+F5)*G5</f>
        <v>250</v>
      </c>
      <c r="I5" s="2" t="inlineStr">
        <is>
          <t>estimate</t>
        </is>
      </c>
      <c r="K5" s="2" t="n"/>
    </row>
    <row r="6">
      <c r="A6" t="inlineStr">
        <is>
          <t>push-rods</t>
        </is>
      </c>
      <c r="B6" s="2" t="inlineStr">
        <is>
          <t>Ankle push rods (steel tube with threaded inserts)</t>
        </is>
      </c>
      <c r="D6" t="inlineStr">
        <is>
          <t>to buy</t>
        </is>
      </c>
      <c r="E6" s="9" t="n">
        <v>4</v>
      </c>
      <c r="F6" s="9" t="n">
        <v>0</v>
      </c>
      <c r="G6" s="16" t="n">
        <v>10</v>
      </c>
      <c r="H6" s="16">
        <f>(E6+F6)*G6</f>
        <v>40</v>
      </c>
      <c r="I6" s="2" t="inlineStr">
        <is>
          <t>estimate</t>
        </is>
      </c>
      <c r="K6" s="2" t="inlineStr">
        <is>
          <t>two per ankle</t>
        </is>
      </c>
    </row>
    <row r="7">
      <c r="A7" t="inlineStr">
        <is>
          <t>fil-cfnylon</t>
        </is>
      </c>
      <c r="B7" s="2" t="inlineStr">
        <is>
          <t>Carbon-fibre nylon filament (kg)</t>
        </is>
      </c>
      <c r="D7" t="inlineStr">
        <is>
          <t>to buy</t>
        </is>
      </c>
      <c r="E7" s="9" t="n">
        <v>4</v>
      </c>
      <c r="F7" s="9" t="n">
        <v>0</v>
      </c>
      <c r="G7" s="16" t="n">
        <v>95</v>
      </c>
      <c r="H7" s="16">
        <f>(E7+F7)*G7</f>
        <v>380</v>
      </c>
      <c r="I7" s="2" t="inlineStr">
        <is>
          <t>typical first-party price 2026-10</t>
        </is>
      </c>
      <c r="K7" s="2" t="inlineStr">
        <is>
          <t>structural shells; needs a hardened nozzle and dry storage</t>
        </is>
      </c>
    </row>
    <row r="8">
      <c r="A8" t="inlineStr">
        <is>
          <t>crossed-roller</t>
        </is>
      </c>
      <c r="B8" s="2" t="inlineStr">
        <is>
          <t>Crossed-roller bearing for the waist</t>
        </is>
      </c>
      <c r="D8" t="inlineStr">
        <is>
          <t>to buy</t>
        </is>
      </c>
      <c r="E8" s="9" t="n">
        <v>1</v>
      </c>
      <c r="F8" s="9" t="n">
        <v>0</v>
      </c>
      <c r="G8" s="16" t="n">
        <v>80</v>
      </c>
      <c r="H8" s="16">
        <f>(E8+F8)*G8</f>
        <v>80</v>
      </c>
      <c r="I8" s="2" t="inlineStr">
        <is>
          <t>reseller range $20-80</t>
        </is>
      </c>
      <c r="K8" s="2" t="n"/>
    </row>
    <row r="9">
      <c r="A9" t="inlineStr">
        <is>
          <t>rod-ends</t>
        </is>
      </c>
      <c r="B9" s="2" t="inlineStr">
        <is>
          <t>M6 steel-ball rod ends for ankle push rods</t>
        </is>
      </c>
      <c r="D9" t="inlineStr">
        <is>
          <t>to buy</t>
        </is>
      </c>
      <c r="E9" s="9" t="n">
        <v>8</v>
      </c>
      <c r="F9" s="9" t="n">
        <v>0</v>
      </c>
      <c r="G9" s="16" t="n">
        <v>8</v>
      </c>
      <c r="H9" s="16">
        <f>(E9+F9)*G9</f>
        <v>64</v>
      </c>
      <c r="I9" s="2" t="inlineStr">
        <is>
          <t>estimate</t>
        </is>
      </c>
      <c r="K9" s="2" t="inlineStr">
        <is>
          <t>two per push rod; size from simulated linkage loads</t>
        </is>
      </c>
    </row>
    <row r="10">
      <c r="A10" t="inlineStr">
        <is>
          <t>machining-pelvis</t>
        </is>
      </c>
      <c r="B10" s="2" t="inlineStr">
        <is>
          <t>Online machining: pelvis back (20 mm, 3D), pelvis top and two gussets (6 mm plates)</t>
        </is>
      </c>
      <c r="D10" t="inlineStr">
        <is>
          <t>to buy</t>
        </is>
      </c>
      <c r="E10" s="9" t="n">
        <v>1</v>
      </c>
      <c r="F10" s="9" t="n">
        <v>0</v>
      </c>
      <c r="G10" s="16" t="n">
        <v>400</v>
      </c>
      <c r="H10" s="16">
        <f>(E10+F10)*G10</f>
        <v>400</v>
      </c>
      <c r="I10" s="2" t="inlineStr">
        <is>
          <t>estimate, not quoted (typical online CNC price)</t>
        </is>
      </c>
      <c r="K10" s="2" t="inlineStr">
        <is>
          <t>too large for a desktop mill; process "service" in build_parts.csv</t>
        </is>
      </c>
    </row>
    <row r="11">
      <c r="A11" t="inlineStr">
        <is>
          <t>machining-legs</t>
        </is>
      </c>
      <c r="B11" s="2" t="inlineStr">
        <is>
          <t>Online machining: shin inner and outer plates, foot bases (6 pocketed 4-5 mm 6061 plates)</t>
        </is>
      </c>
      <c r="D11" t="inlineStr">
        <is>
          <t>to buy</t>
        </is>
      </c>
      <c r="E11" s="9" t="n">
        <v>1</v>
      </c>
      <c r="F11" s="9" t="n">
        <v>0</v>
      </c>
      <c r="G11" s="16" t="n">
        <v>450</v>
      </c>
      <c r="H11" s="16">
        <f>(E11+F11)*G11</f>
        <v>450</v>
      </c>
      <c r="I11" s="2" t="inlineStr">
        <is>
          <t>estimate, not quoted (typical online CNC price for pocketed plates)</t>
        </is>
      </c>
      <c r="K11" s="2" t="inlineStr">
        <is>
          <t>too large for a desktop mill; process "service" in build_parts.csv</t>
        </is>
      </c>
    </row>
    <row r="12">
      <c r="A12" t="inlineStr">
        <is>
          <t>machining-torso</t>
        </is>
      </c>
      <c r="B12" s="2" t="inlineStr">
        <is>
          <t>Online machining: two torso uprights (25 mm 6061; 3D)</t>
        </is>
      </c>
      <c r="D12" t="inlineStr">
        <is>
          <t>to buy</t>
        </is>
      </c>
      <c r="E12" s="9" t="n">
        <v>1</v>
      </c>
      <c r="F12" s="9" t="n">
        <v>0</v>
      </c>
      <c r="G12" s="16" t="n">
        <v>350</v>
      </c>
      <c r="H12" s="16">
        <f>(E12+F12)*G12</f>
        <v>350</v>
      </c>
      <c r="I12" s="2" t="inlineStr">
        <is>
          <t>estimate, not quoted (typical online CNC price)</t>
        </is>
      </c>
      <c r="K12" s="2" t="inlineStr">
        <is>
          <t>too large for a desktop mill; process "service" in build_parts.csv</t>
        </is>
      </c>
    </row>
    <row r="13">
      <c r="A13" t="inlineStr">
        <is>
          <t>fil-petgcf</t>
        </is>
      </c>
      <c r="B13" s="2" t="inlineStr">
        <is>
          <t>PETG-CF filament (kg)</t>
        </is>
      </c>
      <c r="D13" t="inlineStr">
        <is>
          <t>to buy</t>
        </is>
      </c>
      <c r="E13" s="9" t="n">
        <v>2</v>
      </c>
      <c r="F13" s="9" t="n">
        <v>0</v>
      </c>
      <c r="G13" s="16" t="n">
        <v>33</v>
      </c>
      <c r="H13" s="16">
        <f>(E13+F13)*G13</f>
        <v>66</v>
      </c>
      <c r="I13" s="2" t="inlineStr">
        <is>
          <t>typical price 2026-10</t>
        </is>
      </c>
      <c r="K13" s="2" t="inlineStr">
        <is>
          <t>jigs and non-structural parts</t>
        </is>
      </c>
    </row>
    <row r="14">
      <c r="A14" t="inlineStr">
        <is>
          <t>fil-tpu</t>
        </is>
      </c>
      <c r="B14" s="2" t="inlineStr">
        <is>
          <t>TPU 95A filament (kg)</t>
        </is>
      </c>
      <c r="D14" t="inlineStr">
        <is>
          <t>to buy</t>
        </is>
      </c>
      <c r="E14" s="9" t="n">
        <v>1</v>
      </c>
      <c r="F14" s="9" t="n">
        <v>0</v>
      </c>
      <c r="G14" s="16" t="n">
        <v>42</v>
      </c>
      <c r="H14" s="16">
        <f>(E14+F14)*G14</f>
        <v>42</v>
      </c>
      <c r="I14" s="2" t="inlineStr">
        <is>
          <t>typical price 2026-10</t>
        </is>
      </c>
      <c r="K14" s="2" t="inlineStr">
        <is>
          <t>soles and bumpers</t>
        </is>
      </c>
    </row>
    <row r="16">
      <c r="A16" s="5" t="n"/>
      <c r="B16" s="5" t="inlineStr">
        <is>
          <t>Total structure &amp; materials</t>
        </is>
      </c>
      <c r="C16" s="5" t="n"/>
      <c r="D16" s="5" t="n"/>
      <c r="E16" s="5" t="n"/>
      <c r="F16" s="5" t="n"/>
      <c r="G16" s="5" t="n"/>
      <c r="H16" s="14">
        <f>SUM(H2:H14)</f>
        <v>2582</v>
      </c>
      <c r="I16" s="5" t="n"/>
      <c r="J16" s="5" t="n"/>
      <c r="K16" s="5" t="n"/>
    </row>
  </sheetData>
  <autoFilter ref="A1:K14"/>
  <dataValidations count="1">
    <dataValidation sqref="D2:D14" showDropDown="0" showInputMessage="0" showErrorMessage="0" allowBlank="0" error="Choose one of: to buy, ordered, owned" type="list">
      <formula1>"to buy,ordered,owned"</formula1>
    </dataValidation>
  </dataValidations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fasteners</t>
        </is>
      </c>
      <c r="B2" s="2" t="inlineStr">
        <is>
          <t>Metric fasteners; heat-set inserts; dowel pins; threadlocker</t>
        </is>
      </c>
      <c r="D2" t="inlineStr">
        <is>
          <t>to buy</t>
        </is>
      </c>
      <c r="E2" s="9" t="n">
        <v>1</v>
      </c>
      <c r="F2" s="9" t="n">
        <v>0</v>
      </c>
      <c r="G2" s="16" t="n">
        <v>180</v>
      </c>
      <c r="H2" s="16">
        <f>(E2+F2)*G2</f>
        <v>180</v>
      </c>
      <c r="I2" s="2" t="inlineStr">
        <is>
          <t>estimate</t>
        </is>
      </c>
      <c r="K2" s="2" t="inlineStr">
        <is>
          <t>includes the 348 actuator bolts in build_fasteners.csv (12.9 socket head, M3-M5)</t>
        </is>
      </c>
    </row>
    <row r="4">
      <c r="A4" s="5" t="n"/>
      <c r="B4" s="5" t="inlineStr">
        <is>
          <t>Total fasteners</t>
        </is>
      </c>
      <c r="C4" s="5" t="n"/>
      <c r="D4" s="5" t="n"/>
      <c r="E4" s="5" t="n"/>
      <c r="F4" s="5" t="n"/>
      <c r="G4" s="5" t="n"/>
      <c r="H4" s="14">
        <f>SUM(H2:H2)</f>
        <v>180</v>
      </c>
      <c r="I4" s="5" t="n"/>
      <c r="J4" s="5" t="n"/>
      <c r="K4" s="5" t="n"/>
    </row>
  </sheetData>
  <autoFilter ref="A1:K2"/>
  <dataValidations count="1">
    <dataValidation sqref="D2" showDropDown="0" showInputMessage="0" showErrorMessage="0" allowBlank="0" error="Choose one of: to buy, ordered, owned" type="list">
      <formula1>"to buy,ordered,owned"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spot-welder</t>
        </is>
      </c>
      <c r="B2" s="2" t="inlineStr">
        <is>
          <t>Battery spot welder and pack supplies (fish paper, insulating rings, Kapton)</t>
        </is>
      </c>
      <c r="D2" t="inlineStr">
        <is>
          <t>to buy</t>
        </is>
      </c>
      <c r="E2" s="9" t="n">
        <v>1</v>
      </c>
      <c r="F2" s="9" t="n">
        <v>0</v>
      </c>
      <c r="G2" s="16" t="n">
        <v>150</v>
      </c>
      <c r="H2" s="16">
        <f>(E2+F2)*G2</f>
        <v>150</v>
      </c>
      <c r="I2" s="2" t="inlineStr">
        <is>
          <t>estimate</t>
        </is>
      </c>
      <c r="K2" s="2" t="inlineStr">
        <is>
          <t>or have the pack built by a battery shop</t>
        </is>
      </c>
    </row>
    <row r="3">
      <c r="A3" t="inlineStr">
        <is>
          <t>endmills</t>
        </is>
      </c>
      <c r="B3" s="2" t="inlineStr">
        <is>
          <t>Carbide 3-flute end mills for aluminium (1/8 and 1/4 in)</t>
        </is>
      </c>
      <c r="D3" t="inlineStr">
        <is>
          <t>to buy</t>
        </is>
      </c>
      <c r="E3" s="9" t="n">
        <v>8</v>
      </c>
      <c r="F3" s="9" t="n">
        <v>0</v>
      </c>
      <c r="G3" s="16" t="n">
        <v>20</v>
      </c>
      <c r="H3" s="16">
        <f>(E3+F3)*G3</f>
        <v>160</v>
      </c>
      <c r="I3" s="2" t="inlineStr">
        <is>
          <t>reseller range $14-33</t>
        </is>
      </c>
      <c r="K3" s="2" t="n"/>
    </row>
    <row r="4">
      <c r="A4" t="inlineStr">
        <is>
          <t>hand-tools</t>
        </is>
      </c>
      <c r="B4" s="2" t="inlineStr">
        <is>
          <t>Hand tools: torque screwdriver and hex bits, crimp tools, multimeter, digital scale (5 kg x 1 g)</t>
        </is>
      </c>
      <c r="D4" t="inlineStr">
        <is>
          <t>to buy</t>
        </is>
      </c>
      <c r="E4" s="9" t="n">
        <v>1</v>
      </c>
      <c r="F4" s="9" t="n">
        <v>0</v>
      </c>
      <c r="G4" s="16" t="n">
        <v>200</v>
      </c>
      <c r="H4" s="16">
        <f>(E4+F4)*G4</f>
        <v>200</v>
      </c>
      <c r="I4" s="2" t="inlineStr">
        <is>
          <t>estimate</t>
        </is>
      </c>
      <c r="K4" s="2" t="inlineStr">
        <is>
          <t>the scale weighs parts against the mass budget; a desktop CNC mill and 3D printer are assumed and not counted</t>
        </is>
      </c>
    </row>
    <row r="5">
      <c r="A5" t="inlineStr">
        <is>
          <t>print-tools</t>
        </is>
      </c>
      <c r="B5" s="2" t="inlineStr">
        <is>
          <t>Hardened-steel nozzle and filament dryer</t>
        </is>
      </c>
      <c r="D5" t="inlineStr">
        <is>
          <t>to buy</t>
        </is>
      </c>
      <c r="E5" s="9" t="n">
        <v>1</v>
      </c>
      <c r="F5" s="9" t="n">
        <v>0</v>
      </c>
      <c r="G5" s="16" t="n">
        <v>80</v>
      </c>
      <c r="H5" s="16">
        <f>(E5+F5)*G5</f>
        <v>80</v>
      </c>
      <c r="I5" s="2" t="inlineStr">
        <is>
          <t>estimate</t>
        </is>
      </c>
      <c r="K5" s="2" t="inlineStr">
        <is>
          <t>carbon-fibre nylon wears brass nozzles and must be printed dry</t>
        </is>
      </c>
    </row>
    <row r="6">
      <c r="A6" t="inlineStr">
        <is>
          <t>leg-jig</t>
        </is>
      </c>
      <c r="B6" s="2" t="inlineStr">
        <is>
          <t>Single-leg test jig (aluminium extrusion)</t>
        </is>
      </c>
      <c r="D6" t="inlineStr">
        <is>
          <t>to buy</t>
        </is>
      </c>
      <c r="E6" s="9" t="n">
        <v>1</v>
      </c>
      <c r="F6" s="9" t="n">
        <v>0</v>
      </c>
      <c r="G6" s="16" t="n">
        <v>120</v>
      </c>
      <c r="H6" s="16">
        <f>(E6+F6)*G6</f>
        <v>120</v>
      </c>
      <c r="I6" s="2" t="inlineStr">
        <is>
          <t>estimate</t>
        </is>
      </c>
      <c r="K6" s="2" t="n"/>
    </row>
    <row r="8">
      <c r="A8" s="5" t="n"/>
      <c r="B8" s="5" t="inlineStr">
        <is>
          <t>Total tooling</t>
        </is>
      </c>
      <c r="C8" s="5" t="n"/>
      <c r="D8" s="5" t="n"/>
      <c r="E8" s="5" t="n"/>
      <c r="F8" s="5" t="n"/>
      <c r="G8" s="5" t="n"/>
      <c r="H8" s="14">
        <f>SUM(H2:H6)</f>
        <v>710</v>
      </c>
      <c r="I8" s="5" t="n"/>
      <c r="J8" s="5" t="n"/>
      <c r="K8" s="5" t="n"/>
    </row>
  </sheetData>
  <autoFilter ref="A1:K6"/>
  <dataValidations count="1">
    <dataValidation sqref="D2:D6" showDropDown="0" showInputMessage="0" showErrorMessage="0" allowBlank="0" error="Choose one of: to buy, ordered, owned" type="list">
      <formula1>"to buy,ordered,owned"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6" customWidth="1" min="5" max="5"/>
    <col width="7" customWidth="1" min="6" max="6"/>
    <col width="11" customWidth="1" min="7" max="7"/>
    <col width="12" customWidth="1" min="8" max="8"/>
    <col width="44" customWidth="1" min="9" max="9"/>
    <col width="30" customWidth="1" min="10" max="10"/>
    <col width="60" customWidth="1" min="11" max="11"/>
  </cols>
  <sheetData>
    <row r="1" ht="20" customHeight="1">
      <c r="A1" s="8" t="inlineStr">
        <is>
          <t>ID</t>
        </is>
      </c>
      <c r="B1" s="8" t="inlineStr">
        <is>
          <t>Item</t>
        </is>
      </c>
      <c r="C1" s="8" t="inlineStr">
        <is>
          <t>Model</t>
        </is>
      </c>
      <c r="D1" s="8" t="inlineStr">
        <is>
          <t>Status</t>
        </is>
      </c>
      <c r="E1" s="8" t="inlineStr">
        <is>
          <t>Qty</t>
        </is>
      </c>
      <c r="F1" s="8" t="inlineStr">
        <is>
          <t>Spares</t>
        </is>
      </c>
      <c r="G1" s="8" t="inlineStr">
        <is>
          <t>Unit USD</t>
        </is>
      </c>
      <c r="H1" s="8" t="inlineStr">
        <is>
          <t>Line USD</t>
        </is>
      </c>
      <c r="I1" s="8" t="inlineStr">
        <is>
          <t>Price basis</t>
        </is>
      </c>
      <c r="J1" s="8" t="inlineStr">
        <is>
          <t>Source</t>
        </is>
      </c>
      <c r="K1" s="8" t="inlineStr">
        <is>
          <t>Notes</t>
        </is>
      </c>
    </row>
    <row r="2">
      <c r="A2" t="inlineStr">
        <is>
          <t>padding</t>
        </is>
      </c>
      <c r="B2" s="2" t="inlineStr">
        <is>
          <t>Fall padding foam</t>
        </is>
      </c>
      <c r="D2" t="inlineStr">
        <is>
          <t>to buy</t>
        </is>
      </c>
      <c r="E2" s="9" t="n">
        <v>1</v>
      </c>
      <c r="F2" s="9" t="n">
        <v>0</v>
      </c>
      <c r="G2" s="16" t="n">
        <v>50</v>
      </c>
      <c r="H2" s="16">
        <f>(E2+F2)*G2</f>
        <v>50</v>
      </c>
      <c r="I2" s="2" t="inlineStr">
        <is>
          <t>estimate</t>
        </is>
      </c>
      <c r="K2" s="2" t="n"/>
    </row>
    <row r="3">
      <c r="A3" t="inlineStr">
        <is>
          <t>gantry</t>
        </is>
      </c>
      <c r="B3" s="2" t="inlineStr">
        <is>
          <t>Gantry frame; harness and hoist</t>
        </is>
      </c>
      <c r="D3" t="inlineStr">
        <is>
          <t>to buy</t>
        </is>
      </c>
      <c r="E3" s="9" t="n">
        <v>1</v>
      </c>
      <c r="F3" s="9" t="n">
        <v>0</v>
      </c>
      <c r="G3" s="16" t="n">
        <v>300</v>
      </c>
      <c r="H3" s="16">
        <f>(E3+F3)*G3</f>
        <v>300</v>
      </c>
      <c r="I3" s="2" t="inlineStr">
        <is>
          <t>estimate</t>
        </is>
      </c>
      <c r="K3" s="2" t="n"/>
    </row>
    <row r="4">
      <c r="A4" t="inlineStr">
        <is>
          <t>estop-wired</t>
        </is>
      </c>
      <c r="B4" s="2" t="inlineStr">
        <is>
          <t>Latching e-stop button and contactor driver</t>
        </is>
      </c>
      <c r="D4" t="inlineStr">
        <is>
          <t>to buy</t>
        </is>
      </c>
      <c r="E4" s="9" t="n">
        <v>1</v>
      </c>
      <c r="F4" s="9" t="n">
        <v>0</v>
      </c>
      <c r="G4" s="16" t="n">
        <v>40</v>
      </c>
      <c r="H4" s="16">
        <f>(E4+F4)*G4</f>
        <v>40</v>
      </c>
      <c r="I4" s="2" t="inlineStr">
        <is>
          <t>estimate</t>
        </is>
      </c>
      <c r="K4" s="2" t="n"/>
    </row>
    <row r="5">
      <c r="A5" t="inlineStr">
        <is>
          <t>estop-rf</t>
        </is>
      </c>
      <c r="B5" s="2" t="inlineStr">
        <is>
          <t>Wireless e-stop: handheld transmitter; receiver and watchdog relay</t>
        </is>
      </c>
      <c r="D5" t="inlineStr">
        <is>
          <t>to buy</t>
        </is>
      </c>
      <c r="E5" s="9" t="n">
        <v>1</v>
      </c>
      <c r="F5" s="9" t="n">
        <v>0</v>
      </c>
      <c r="G5" s="16" t="n">
        <v>80</v>
      </c>
      <c r="H5" s="16">
        <f>(E5+F5)*G5</f>
        <v>80</v>
      </c>
      <c r="I5" s="2" t="inlineStr">
        <is>
          <t>estimate</t>
        </is>
      </c>
      <c r="K5" s="2" t="inlineStr">
        <is>
          <t>in series with the wired e-stop</t>
        </is>
      </c>
    </row>
    <row r="7">
      <c r="A7" s="5" t="n"/>
      <c r="B7" s="5" t="inlineStr">
        <is>
          <t>Total safety</t>
        </is>
      </c>
      <c r="C7" s="5" t="n"/>
      <c r="D7" s="5" t="n"/>
      <c r="E7" s="5" t="n"/>
      <c r="F7" s="5" t="n"/>
      <c r="G7" s="5" t="n"/>
      <c r="H7" s="14">
        <f>SUM(H2:H5)</f>
        <v>470</v>
      </c>
      <c r="I7" s="5" t="n"/>
      <c r="J7" s="5" t="n"/>
      <c r="K7" s="5" t="n"/>
    </row>
  </sheetData>
  <autoFilter ref="A1:K5"/>
  <dataValidations count="1">
    <dataValidation sqref="D2:D5" showDropDown="0" showInputMessage="0" showErrorMessage="0" allowBlank="0" error="Choose one of: to buy, ordered, owned" type="list">
      <formula1>"to buy,ordered,owned"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50" customWidth="1" min="4" max="4"/>
    <col width="11" customWidth="1" min="5" max="5"/>
    <col width="22" customWidth="1" min="6" max="6"/>
    <col width="26" customWidth="1" min="7" max="7"/>
    <col width="11" customWidth="1" min="8" max="8"/>
    <col width="10" customWidth="1" min="9" max="9"/>
    <col width="60" customWidth="1" min="10" max="10"/>
  </cols>
  <sheetData>
    <row r="1" ht="20" customHeight="1">
      <c r="A1" s="8" t="inlineStr">
        <is>
          <t>ID</t>
        </is>
      </c>
      <c r="B1" s="8" t="inlineStr">
        <is>
          <t>Vendor</t>
        </is>
      </c>
      <c r="C1" s="8" t="inlineStr">
        <is>
          <t>Kind</t>
        </is>
      </c>
      <c r="D1" s="8" t="inlineStr">
        <is>
          <t>URL</t>
        </is>
      </c>
      <c r="E1" s="8" t="inlineStr">
        <is>
          <t>Unit USD</t>
        </is>
      </c>
      <c r="F1" s="8" t="inlineStr">
        <is>
          <t>Tiers</t>
        </is>
      </c>
      <c r="G1" s="8" t="inlineStr">
        <is>
          <t>Availability</t>
        </is>
      </c>
      <c r="H1" s="8" t="inlineStr">
        <is>
          <t>Checked</t>
        </is>
      </c>
      <c r="I1" s="8" t="inlineStr">
        <is>
          <t>Confirmed</t>
        </is>
      </c>
      <c r="J1" s="8" t="inlineStr">
        <is>
          <t>Notes</t>
        </is>
      </c>
    </row>
    <row r="2">
      <c r="A2" t="inlineStr">
        <is>
          <t>bearing-6806</t>
        </is>
      </c>
      <c r="B2" t="inlineStr">
        <is>
          <t>Simply Bearings</t>
        </is>
      </c>
      <c r="C2" t="inlineStr">
        <is>
          <t>distributor</t>
        </is>
      </c>
      <c r="D2" s="11" t="inlineStr">
        <is>
          <t>https://simplybearings.co.uk/shop/p170125/68062RS-Budget-Rubber-Sealed-Thin-Section-Deep-Groove-Ball-Bearing-30x42x7mm/product_info.html</t>
        </is>
      </c>
      <c r="E2" s="16" t="n"/>
      <c r="F2" s="2" t="inlineStr">
        <is>
          <t>£6.33 ex VAT; £5.64 at 4+</t>
        </is>
      </c>
      <c r="G2" s="2" t="n"/>
      <c r="H2" t="inlineStr">
        <is>
          <t>2026-10-29</t>
        </is>
      </c>
      <c r="I2" t="inlineStr">
        <is>
          <t>yes</t>
        </is>
      </c>
      <c r="J2" s="2" t="inlineStr">
        <is>
          <t>budget grade</t>
        </is>
      </c>
    </row>
    <row r="3">
      <c r="A3" t="inlineStr">
        <is>
          <t>bearing-6806</t>
        </is>
      </c>
      <c r="B3" t="inlineStr">
        <is>
          <t>Zoro</t>
        </is>
      </c>
      <c r="C3" t="inlineStr">
        <is>
          <t>distributor</t>
        </is>
      </c>
      <c r="D3" s="11" t="inlineStr">
        <is>
          <t>https://www.zoro.com/ezo-deep-groove-30mm-bore-42mm-od-sealed-6806-2rsc0srl/i/G2080051</t>
        </is>
      </c>
      <c r="E3" s="16" t="n"/>
      <c r="F3" s="2" t="n"/>
      <c r="G3" s="2" t="n"/>
      <c r="H3" t="inlineStr">
        <is>
          <t>2026-10-29</t>
        </is>
      </c>
      <c r="I3" t="inlineStr">
        <is>
          <t>no</t>
        </is>
      </c>
      <c r="J3" s="2" t="inlineStr">
        <is>
          <t>EZO 6806-2RS; a 61806-2RS listing showed $6.45</t>
        </is>
      </c>
    </row>
    <row r="4">
      <c r="A4" t="inlineStr">
        <is>
          <t>bms</t>
        </is>
      </c>
      <c r="B4" t="inlineStr">
        <is>
          <t>18650 Battery Store</t>
        </is>
      </c>
      <c r="C4" t="inlineStr">
        <is>
          <t>dealer</t>
        </is>
      </c>
      <c r="D4" s="11" t="inlineStr">
        <is>
          <t>https://www.18650batterystore.com/products/jk-b2a24s15p-bms</t>
        </is>
      </c>
      <c r="E4" s="16" t="n">
        <v>145</v>
      </c>
      <c r="F4" s="2" t="n"/>
      <c r="G4" s="2" t="inlineStr">
        <is>
          <t>sold out</t>
        </is>
      </c>
      <c r="H4" t="inlineStr">
        <is>
          <t>2026-10-29</t>
        </is>
      </c>
      <c r="I4" t="inlineStr">
        <is>
          <t>yes</t>
        </is>
      </c>
      <c r="J4" s="2" t="inlineStr">
        <is>
          <t>JK-B2A24S15P, 8-24S 150 A, 2 A active balancing; confirm its CAN protocol</t>
        </is>
      </c>
    </row>
    <row r="5">
      <c r="A5" t="inlineStr">
        <is>
          <t>camera</t>
        </is>
      </c>
      <c r="B5" t="inlineStr">
        <is>
          <t>Orbbec store</t>
        </is>
      </c>
      <c r="C5" t="inlineStr">
        <is>
          <t>official</t>
        </is>
      </c>
      <c r="D5" s="11" t="inlineStr">
        <is>
          <t>https://store.orbbec.com/products/gemini-335l</t>
        </is>
      </c>
      <c r="E5" s="16" t="n">
        <v>359</v>
      </c>
      <c r="F5" s="2" t="n"/>
      <c r="G5" s="2" t="n"/>
      <c r="H5" t="inlineStr">
        <is>
          <t>2026-10-29</t>
        </is>
      </c>
      <c r="I5" t="inlineStr">
        <is>
          <t>no</t>
        </is>
      </c>
      <c r="J5" s="2" t="inlineStr">
        <is>
          <t>store page rate-limited; $359 is the list price shown by resellers</t>
        </is>
      </c>
    </row>
    <row r="6">
      <c r="A6" t="inlineStr">
        <is>
          <t>camera</t>
        </is>
      </c>
      <c r="B6" t="inlineStr">
        <is>
          <t>RobotShop</t>
        </is>
      </c>
      <c r="C6" t="inlineStr">
        <is>
          <t>distributor</t>
        </is>
      </c>
      <c r="D6" s="11" t="inlineStr">
        <is>
          <t>https://www.robotshop.com/products/orbbec-gemini-335l-camera</t>
        </is>
      </c>
      <c r="E6" s="16" t="n">
        <v>413</v>
      </c>
      <c r="F6" s="2" t="n"/>
      <c r="G6" s="2" t="inlineStr">
        <is>
          <t>5 in stock</t>
        </is>
      </c>
      <c r="H6" t="inlineStr">
        <is>
          <t>2026-10-29</t>
        </is>
      </c>
      <c r="I6" t="inlineStr">
        <is>
          <t>yes</t>
        </is>
      </c>
      <c r="J6" s="2" t="inlineStr">
        <is>
          <t>includes US tariffs</t>
        </is>
      </c>
    </row>
    <row r="7">
      <c r="A7" t="inlineStr">
        <is>
          <t>can-robstride-dbg</t>
        </is>
      </c>
      <c r="B7" t="inlineStr">
        <is>
          <t>Seeed Studio</t>
        </is>
      </c>
      <c r="C7" t="inlineStr">
        <is>
          <t>official reseller</t>
        </is>
      </c>
      <c r="D7" s="11" t="inlineStr">
        <is>
          <t>https://www.seeedstudio.com/Robostride-CAN-USB-Driver-Board-p-6708.html</t>
        </is>
      </c>
      <c r="E7" s="16" t="n">
        <v>15</v>
      </c>
      <c r="F7" s="2" t="inlineStr">
        <is>
          <t>$14 at 10+</t>
        </is>
      </c>
      <c r="G7" s="2" t="n"/>
      <c r="H7" t="inlineStr">
        <is>
          <t>2026-10</t>
        </is>
      </c>
      <c r="I7" t="inlineStr">
        <is>
          <t>no</t>
        </is>
      </c>
      <c r="J7" s="2" t="inlineStr">
        <is>
          <t>price from an earlier check; not reopened</t>
        </is>
      </c>
    </row>
    <row r="8">
      <c r="A8" t="inlineStr">
        <is>
          <t>can-usb-dual</t>
        </is>
      </c>
      <c r="B8" t="inlineStr">
        <is>
          <t>Carrefour UAE marketplace</t>
        </is>
      </c>
      <c r="C8" t="inlineStr">
        <is>
          <t>marketplace</t>
        </is>
      </c>
      <c r="D8" s="11" t="inlineStr">
        <is>
          <t>https://www.carrefouruae.com/mafuae/en/miscellaneous/innomaker-dual-channels-usb-to-can-converter-for-raspberry-pi5-4-pi3b-pi3-pi-zero-w-jetson-nano-tinker-board-any-sbcs-desktop-laptop-support-windows-linux-mac-os-android-venus-os-/p/1881649107638</t>
        </is>
      </c>
      <c r="E8" s="16" t="n">
        <v>126</v>
      </c>
      <c r="F8" s="2" t="n"/>
      <c r="G8" s="2" t="n"/>
      <c r="H8" t="inlineStr">
        <is>
          <t>2026-10-29</t>
        </is>
      </c>
      <c r="I8" t="inlineStr">
        <is>
          <t>no</t>
        </is>
      </c>
      <c r="J8" s="2" t="inlineStr">
        <is>
          <t>AED 462 incl. VAT; the only listing with a price</t>
        </is>
      </c>
    </row>
    <row r="9">
      <c r="A9" t="inlineStr">
        <is>
          <t>can-usb-dual</t>
        </is>
      </c>
      <c r="B9" t="inlineStr">
        <is>
          <t>InnoMaker USB2CAN-X2 (docs)</t>
        </is>
      </c>
      <c r="C9" t="inlineStr">
        <is>
          <t>official</t>
        </is>
      </c>
      <c r="D9" s="11" t="inlineStr">
        <is>
          <t>https://github.com/INNO-MAKER/usb2can</t>
        </is>
      </c>
      <c r="E9" s="16" t="n"/>
      <c r="F9" s="2" t="n"/>
      <c r="G9" s="2" t="n"/>
      <c r="H9" t="inlineStr">
        <is>
          <t>2026-10-29</t>
        </is>
      </c>
      <c r="I9" t="inlineStr">
        <is>
          <t>yes</t>
        </is>
      </c>
      <c r="J9" s="2" t="inlineStr">
        <is>
          <t>two channels, 3 kV isolation, SocketCAN; no live US price found</t>
        </is>
      </c>
    </row>
    <row r="10">
      <c r="A10" t="inlineStr">
        <is>
          <t>can-usb-single</t>
        </is>
      </c>
      <c r="B10" t="inlineStr">
        <is>
          <t>Openlight Labs (CANable Pro)</t>
        </is>
      </c>
      <c r="C10" t="inlineStr">
        <is>
          <t>official</t>
        </is>
      </c>
      <c r="D10" s="11" t="inlineStr">
        <is>
          <t>https://reach.dog/shop/openlight-labs/products/canable-pro-isolated-usb-to-can-adapter</t>
        </is>
      </c>
      <c r="E10" s="16" t="n">
        <v>60</v>
      </c>
      <c r="F10" s="2" t="n"/>
      <c r="G10" s="2" t="n"/>
      <c r="H10" t="inlineStr">
        <is>
          <t>2026-10-29</t>
        </is>
      </c>
      <c r="I10" t="inlineStr">
        <is>
          <t>no</t>
        </is>
      </c>
      <c r="J10" s="2" t="inlineStr">
        <is>
          <t>Pro 1.1 (5 kV) $70; candleLight firmware gives gs_usb SocketCAN</t>
        </is>
      </c>
    </row>
    <row r="11">
      <c r="A11" t="inlineStr">
        <is>
          <t>can-usb-single</t>
        </is>
      </c>
      <c r="B11" t="inlineStr">
        <is>
          <t>RobotShop (CANable Pro clone)</t>
        </is>
      </c>
      <c r="C11" t="inlineStr">
        <is>
          <t>distributor</t>
        </is>
      </c>
      <c r="D11" s="11" t="inlineStr">
        <is>
          <t>https://robotshop.com/products/eyou-robotics-can-usb-adapter-canable-pro</t>
        </is>
      </c>
      <c r="E11" s="16" t="n">
        <v>42</v>
      </c>
      <c r="F11" s="2" t="n"/>
      <c r="G11" s="2" t="n"/>
      <c r="H11" t="inlineStr">
        <is>
          <t>2026-10-29</t>
        </is>
      </c>
      <c r="I11" t="inlineStr">
        <is>
          <t>no</t>
        </is>
      </c>
      <c r="J11" s="2" t="inlineStr">
        <is>
          <t>third-party CANable Pro build</t>
        </is>
      </c>
    </row>
    <row r="12">
      <c r="A12" t="inlineStr">
        <is>
          <t>cells</t>
        </is>
      </c>
      <c r="B12" t="inlineStr">
        <is>
          <t>18650 Battery Store</t>
        </is>
      </c>
      <c r="C12" t="inlineStr">
        <is>
          <t>authorised dealer</t>
        </is>
      </c>
      <c r="D12" s="11" t="inlineStr">
        <is>
          <t>https://www.18650batterystore.com/products/molicel-p45b</t>
        </is>
      </c>
      <c r="E12" s="16" t="n">
        <v>9.99</v>
      </c>
      <c r="F12" s="2" t="inlineStr">
        <is>
          <t>sale $5.19 when in stock</t>
        </is>
      </c>
      <c r="G12" s="2" t="inlineStr">
        <is>
          <t>sold out</t>
        </is>
      </c>
      <c r="H12" t="inlineStr">
        <is>
          <t>2026-10-29</t>
        </is>
      </c>
      <c r="I12" t="inlineStr">
        <is>
          <t>yes</t>
        </is>
      </c>
      <c r="J12" s="2" t="inlineStr">
        <is>
          <t>regular price $9.99</t>
        </is>
      </c>
    </row>
    <row r="13">
      <c r="A13" t="inlineStr">
        <is>
          <t>cells</t>
        </is>
      </c>
      <c r="B13" t="inlineStr">
        <is>
          <t>Batteries in a Flash</t>
        </is>
      </c>
      <c r="C13" t="inlineStr">
        <is>
          <t>dealer</t>
        </is>
      </c>
      <c r="D13" s="11" t="inlineStr">
        <is>
          <t>https://www.batteriesinaflash.com/regular-rechargeable-batteries/molicel-inr-21700-p45b-3-6-volt-4500mah-45a-lithium-ion-cell</t>
        </is>
      </c>
      <c r="E13" s="16" t="n">
        <v>9.949999999999999</v>
      </c>
      <c r="F13" s="2" t="inlineStr">
        <is>
          <t>$8.95 at 600+</t>
        </is>
      </c>
      <c r="G13" s="2" t="inlineStr">
        <is>
          <t>in stock</t>
        </is>
      </c>
      <c r="H13" t="inlineStr">
        <is>
          <t>2026-10-29</t>
        </is>
      </c>
      <c r="I13" t="inlineStr">
        <is>
          <t>yes</t>
        </is>
      </c>
      <c r="J13" s="2" t="n"/>
    </row>
    <row r="14">
      <c r="A14" t="inlineStr">
        <is>
          <t>compute</t>
        </is>
      </c>
      <c r="B14" t="inlineStr">
        <is>
          <t>CNX Software (news)</t>
        </is>
      </c>
      <c r="C14" t="inlineStr">
        <is>
          <t>price report</t>
        </is>
      </c>
      <c r="D14" s="11" t="inlineStr">
        <is>
          <t>https://www.cnx-software.com/2026/07/22/nvidia-increases-the-price-of-jetson-modules-and-devkits-by-up-to-101/</t>
        </is>
      </c>
      <c r="E14" s="16" t="n">
        <v>3499</v>
      </c>
      <c r="F14" s="2" t="n"/>
      <c r="G14" s="2" t="n"/>
      <c r="H14" t="inlineStr">
        <is>
          <t>2026-10-29</t>
        </is>
      </c>
      <c r="I14" t="inlineStr">
        <is>
          <t>yes</t>
        </is>
      </c>
      <c r="J14" s="2" t="inlineStr">
        <is>
          <t>source for the July 2026 price change</t>
        </is>
      </c>
    </row>
    <row r="15">
      <c r="A15" t="inlineStr">
        <is>
          <t>compute</t>
        </is>
      </c>
      <c r="B15" t="inlineStr">
        <is>
          <t>NVIDIA Marketplace</t>
        </is>
      </c>
      <c r="C15" t="inlineStr">
        <is>
          <t>official</t>
        </is>
      </c>
      <c r="D15" s="11" t="inlineStr">
        <is>
          <t>https://marketplace.nvidia.com/en-us/enterprise/robotics-edge/jetson-agx-orin-developer-kit/</t>
        </is>
      </c>
      <c r="E15" s="16" t="n">
        <v>3499</v>
      </c>
      <c r="F15" s="2" t="n"/>
      <c r="G15" s="2" t="inlineStr">
        <is>
          <t>reported out of stock 2026-10-21</t>
        </is>
      </c>
      <c r="H15" t="inlineStr">
        <is>
          <t>2026-10-29</t>
        </is>
      </c>
      <c r="I15" t="inlineStr">
        <is>
          <t>no</t>
        </is>
      </c>
      <c r="J15" s="2" t="inlineStr">
        <is>
          <t>page timed out; list price raised from $1,999 to $3,499 in July 2026 (NVIDIA developer FAQ, reported by CNX Software)</t>
        </is>
      </c>
    </row>
    <row r="16">
      <c r="A16" t="inlineStr">
        <is>
          <t>compute</t>
        </is>
      </c>
      <c r="B16" t="inlineStr">
        <is>
          <t>SparkFun</t>
        </is>
      </c>
      <c r="C16" t="inlineStr">
        <is>
          <t>distributor</t>
        </is>
      </c>
      <c r="D16" s="11" t="inlineStr">
        <is>
          <t>https://www.sparkfun.com/nvidia-jetson-agx-orin-64gb-developer-kit.html</t>
        </is>
      </c>
      <c r="E16" s="16" t="n">
        <v>3499</v>
      </c>
      <c r="F16" s="2" t="n"/>
      <c r="G16" s="2" t="inlineStr">
        <is>
          <t>backorder</t>
        </is>
      </c>
      <c r="H16" t="inlineStr">
        <is>
          <t>2026-10-29</t>
        </is>
      </c>
      <c r="I16" t="inlineStr">
        <is>
          <t>yes</t>
        </is>
      </c>
      <c r="J16" s="2" t="inlineStr">
        <is>
          <t>SKU DEV-22099</t>
        </is>
      </c>
    </row>
    <row r="17">
      <c r="A17" t="inlineStr">
        <is>
          <t>dcdc-servo</t>
        </is>
      </c>
      <c r="B17" t="inlineStr">
        <is>
          <t>Bravo Electro</t>
        </is>
      </c>
      <c r="C17" t="inlineStr">
        <is>
          <t>distributor</t>
        </is>
      </c>
      <c r="D17" s="11" t="inlineStr">
        <is>
          <t>https://www.bravoelectro.com/ddr-120c-12.html</t>
        </is>
      </c>
      <c r="E17" s="16" t="n">
        <v>67.26000000000001</v>
      </c>
      <c r="F17" s="2" t="inlineStr">
        <is>
          <t>$61.24 at 10+</t>
        </is>
      </c>
      <c r="G17" s="2" t="n"/>
      <c r="H17" t="inlineStr">
        <is>
          <t>2026-10-29</t>
        </is>
      </c>
      <c r="I17" t="inlineStr">
        <is>
          <t>yes</t>
        </is>
      </c>
      <c r="J17" s="2" t="inlineStr">
        <is>
          <t>Mean Well DDR-120C-12 (33.6-67.2 V in, 12 V 10 A) is a DIN-rail module and too big for the pelvis channel; reference price only</t>
        </is>
      </c>
    </row>
    <row r="18">
      <c r="A18" t="inlineStr">
        <is>
          <t>hand-kit</t>
        </is>
      </c>
      <c r="B18" t="inlineStr">
        <is>
          <t>Pollen Robotics AmazingHand</t>
        </is>
      </c>
      <c r="C18" t="inlineStr">
        <is>
          <t>open-source design</t>
        </is>
      </c>
      <c r="D18" s="11" t="inlineStr">
        <is>
          <t>https://github.com/pollen-robotics/AmazingHand</t>
        </is>
      </c>
      <c r="E18" s="16" t="n"/>
      <c r="F18" s="2" t="n"/>
      <c r="G18" s="2" t="n"/>
      <c r="H18" t="inlineStr">
        <is>
          <t>2026-10-29</t>
        </is>
      </c>
      <c r="I18" t="inlineStr">
        <is>
          <t>yes</t>
        </is>
      </c>
      <c r="J18" s="2" t="inlineStr">
        <is>
          <t>bill of materials and print files for building the hand from parts (the project gives under €200 per hand, plus the control board)</t>
        </is>
      </c>
    </row>
    <row r="19">
      <c r="A19" t="inlineStr">
        <is>
          <t>hand-kit</t>
        </is>
      </c>
      <c r="B19" t="inlineStr">
        <is>
          <t>Seeed Studio (left)</t>
        </is>
      </c>
      <c r="C19" t="inlineStr">
        <is>
          <t>official reseller</t>
        </is>
      </c>
      <c r="D19" s="11" t="inlineStr">
        <is>
          <t>https://www.seeedstudio.com/Amazing-Hand-Open-Source-3D-Printable-Robotic-Hand-Kit.html</t>
        </is>
      </c>
      <c r="E19" s="16" t="n">
        <v>99</v>
      </c>
      <c r="F19" s="2" t="inlineStr">
        <is>
          <t>$97 at 10+</t>
        </is>
      </c>
      <c r="G19" s="2" t="inlineStr">
        <is>
          <t>in stock, China warehouse</t>
        </is>
      </c>
      <c r="H19" t="inlineStr">
        <is>
          <t>2026-10-29</t>
        </is>
      </c>
      <c r="I19" t="inlineStr">
        <is>
          <t>yes</t>
        </is>
      </c>
      <c r="J19" s="2" t="inlineStr">
        <is>
          <t>SKU 100062181; box contents not listed</t>
        </is>
      </c>
    </row>
    <row r="20">
      <c r="A20" t="inlineStr">
        <is>
          <t>hand-kit</t>
        </is>
      </c>
      <c r="B20" t="inlineStr">
        <is>
          <t>Seeed Studio (right)</t>
        </is>
      </c>
      <c r="C20" t="inlineStr">
        <is>
          <t>official reseller</t>
        </is>
      </c>
      <c r="D20" s="11" t="inlineStr">
        <is>
          <t>https://www.seeedstudio.com/Amazing-Hand-Right-Hand-The-Open-Source-Robotic-Hand-Developer-Kit.html</t>
        </is>
      </c>
      <c r="E20" s="16" t="n">
        <v>99</v>
      </c>
      <c r="F20" s="2" t="inlineStr">
        <is>
          <t>$97 at 10+</t>
        </is>
      </c>
      <c r="G20" s="2" t="inlineStr">
        <is>
          <t>in stock, China warehouse</t>
        </is>
      </c>
      <c r="H20" t="inlineStr">
        <is>
          <t>2026-10-29</t>
        </is>
      </c>
      <c r="I20" t="inlineStr">
        <is>
          <t>yes</t>
        </is>
      </c>
      <c r="J20" s="2" t="inlineStr">
        <is>
          <t>SKU 100063642; box contents not listed</t>
        </is>
      </c>
    </row>
    <row r="21">
      <c r="A21" t="inlineStr">
        <is>
          <t>rs00</t>
        </is>
      </c>
      <c r="B21" t="inlineStr">
        <is>
          <t>Seeed Studio</t>
        </is>
      </c>
      <c r="C21" t="inlineStr">
        <is>
          <t>official reseller</t>
        </is>
      </c>
      <c r="D21" s="11" t="inlineStr">
        <is>
          <t>https://www.seeedstudio.com/Robostride-00-Actuator-p-6664.html</t>
        </is>
      </c>
      <c r="E21" s="16" t="n">
        <v>138.99</v>
      </c>
      <c r="F21" s="2" t="inlineStr">
        <is>
          <t>$131.99 at 10+</t>
        </is>
      </c>
      <c r="G21" s="2" t="inlineStr">
        <is>
          <t>in stock, China warehouse</t>
        </is>
      </c>
      <c r="H21" t="inlineStr">
        <is>
          <t>2026-10-29</t>
        </is>
      </c>
      <c r="I21" t="inlineStr">
        <is>
          <t>yes</t>
        </is>
      </c>
      <c r="J21" s="2" t="inlineStr">
        <is>
          <t>RobStride list $125</t>
        </is>
      </c>
    </row>
    <row r="22">
      <c r="A22" t="inlineStr">
        <is>
          <t>rs03</t>
        </is>
      </c>
      <c r="B22" t="inlineStr">
        <is>
          <t>Seeed Studio</t>
        </is>
      </c>
      <c r="C22" t="inlineStr">
        <is>
          <t>official reseller</t>
        </is>
      </c>
      <c r="D22" s="11" t="inlineStr">
        <is>
          <t>https://www.seeedstudio.com/Robostride-03-Actuator-p-6774.html</t>
        </is>
      </c>
      <c r="E22" s="16" t="n">
        <v>225</v>
      </c>
      <c r="F22" s="2" t="inlineStr">
        <is>
          <t>$214 at 10+</t>
        </is>
      </c>
      <c r="G22" s="2" t="inlineStr">
        <is>
          <t>in stock, China warehouse</t>
        </is>
      </c>
      <c r="H22" t="inlineStr">
        <is>
          <t>2026-10-29</t>
        </is>
      </c>
      <c r="I22" t="inlineStr">
        <is>
          <t>yes</t>
        </is>
      </c>
      <c r="J22" s="2" t="n"/>
    </row>
    <row r="23">
      <c r="A23" t="inlineStr">
        <is>
          <t>rs04</t>
        </is>
      </c>
      <c r="B23" t="inlineStr">
        <is>
          <t>Seeed Studio</t>
        </is>
      </c>
      <c r="C23" t="inlineStr">
        <is>
          <t>official reseller</t>
        </is>
      </c>
      <c r="D23" s="11" t="inlineStr">
        <is>
          <t>https://www.seeedstudio.com/Robostride-04-Actuator-p-6775.html</t>
        </is>
      </c>
      <c r="E23" s="16" t="n">
        <v>255</v>
      </c>
      <c r="F23" s="2" t="inlineStr">
        <is>
          <t>$242 at 10+</t>
        </is>
      </c>
      <c r="G23" s="2" t="inlineStr">
        <is>
          <t>in stock, China warehouse; lead time not shown</t>
        </is>
      </c>
      <c r="H23" t="inlineStr">
        <is>
          <t>2026-10-29</t>
        </is>
      </c>
      <c r="I23" t="inlineStr">
        <is>
          <t>yes</t>
        </is>
      </c>
      <c r="J23" s="2" t="inlineStr">
        <is>
          <t>RobStride's own site links to Seeed and Amazon for ordering</t>
        </is>
      </c>
    </row>
    <row r="24">
      <c r="A24" t="inlineStr">
        <is>
          <t>rs06</t>
        </is>
      </c>
      <c r="B24" t="inlineStr">
        <is>
          <t>Seeed Studio</t>
        </is>
      </c>
      <c r="C24" t="inlineStr">
        <is>
          <t>official reseller</t>
        </is>
      </c>
      <c r="D24" s="11" t="inlineStr">
        <is>
          <t>https://www.seeedstudio.com/Robostride-06-Actuator-p-6668.html</t>
        </is>
      </c>
      <c r="E24" s="16" t="n">
        <v>210</v>
      </c>
      <c r="F24" s="2" t="inlineStr">
        <is>
          <t>$200 at 10+</t>
        </is>
      </c>
      <c r="G24" s="2" t="inlineStr">
        <is>
          <t>in stock, China warehouse</t>
        </is>
      </c>
      <c r="H24" t="inlineStr">
        <is>
          <t>2026-10-29</t>
        </is>
      </c>
      <c r="I24" t="inlineStr">
        <is>
          <t>yes</t>
        </is>
      </c>
      <c r="J24" s="2" t="n"/>
    </row>
    <row r="25">
      <c r="A25" t="inlineStr">
        <is>
          <t>servo-adapter</t>
        </is>
      </c>
      <c r="B25" t="inlineStr">
        <is>
          <t>Feetech FE-URT-1 (RobotShop UK)</t>
        </is>
      </c>
      <c r="C25" t="inlineStr">
        <is>
          <t>distributor</t>
        </is>
      </c>
      <c r="D25" s="11" t="inlineStr">
        <is>
          <t>https://uk.robotshop.com/products/fe-urt-1-usb-to-ttl-485-bus-programmer</t>
        </is>
      </c>
      <c r="E25" s="16" t="n"/>
      <c r="F25" s="2" t="inlineStr">
        <is>
          <t>£13.67</t>
        </is>
      </c>
      <c r="G25" s="2" t="inlineStr">
        <is>
          <t>1 left</t>
        </is>
      </c>
      <c r="H25" t="inlineStr">
        <is>
          <t>2026-10-29</t>
        </is>
      </c>
      <c r="I25" t="inlineStr">
        <is>
          <t>yes</t>
        </is>
      </c>
      <c r="J25" s="2" t="inlineStr">
        <is>
          <t>Feetech's own programmer; alternative</t>
        </is>
      </c>
    </row>
    <row r="26">
      <c r="A26" t="inlineStr">
        <is>
          <t>servo-adapter</t>
        </is>
      </c>
      <c r="B26" t="inlineStr">
        <is>
          <t>Waveshare</t>
        </is>
      </c>
      <c r="C26" t="inlineStr">
        <is>
          <t>official</t>
        </is>
      </c>
      <c r="D26" s="11" t="inlineStr">
        <is>
          <t>https://www.waveshare.com/bus-servo-adapter-a.htm</t>
        </is>
      </c>
      <c r="E26" s="16" t="n">
        <v>4.99</v>
      </c>
      <c r="F26" s="2" t="n"/>
      <c r="G26" s="2" t="n"/>
      <c r="H26" t="inlineStr">
        <is>
          <t>2026-10-29</t>
        </is>
      </c>
      <c r="I26" t="inlineStr">
        <is>
          <t>yes</t>
        </is>
      </c>
      <c r="J26" s="2" t="inlineStr">
        <is>
          <t>Bus Servo Adapter (A) SKU 25514; supports ST and SC series</t>
        </is>
      </c>
    </row>
    <row r="27">
      <c r="A27" t="inlineStr">
        <is>
          <t>sts3250</t>
        </is>
      </c>
      <c r="B27" t="inlineStr">
        <is>
          <t>AIFit Lab</t>
        </is>
      </c>
      <c r="C27" t="inlineStr">
        <is>
          <t>reseller</t>
        </is>
      </c>
      <c r="D27" s="11" t="inlineStr">
        <is>
          <t>https://aifitlab.com/products/feetech-sts3250-servo-motor</t>
        </is>
      </c>
      <c r="E27" s="16" t="n">
        <v>97</v>
      </c>
      <c r="F27" s="2" t="n"/>
      <c r="G27" s="2" t="inlineStr">
        <is>
          <t>backordered</t>
        </is>
      </c>
      <c r="H27" t="inlineStr">
        <is>
          <t>2026-10-29</t>
        </is>
      </c>
      <c r="I27" t="inlineStr">
        <is>
          <t>yes</t>
        </is>
      </c>
      <c r="J27" s="2" t="inlineStr">
        <is>
          <t>ST-3250-C001 with bracket</t>
        </is>
      </c>
    </row>
    <row r="28">
      <c r="A28" t="inlineStr">
        <is>
          <t>sts3250</t>
        </is>
      </c>
      <c r="B28" t="inlineStr">
        <is>
          <t>OpenELAB</t>
        </is>
      </c>
      <c r="C28" t="inlineStr">
        <is>
          <t>reseller</t>
        </is>
      </c>
      <c r="D28" s="11" t="inlineStr">
        <is>
          <t>https://openelab.io/products/feetech-sts3250-c002-servo-12v</t>
        </is>
      </c>
      <c r="E28" s="16" t="n"/>
      <c r="F28" s="2" t="inlineStr">
        <is>
          <t>€75.85</t>
        </is>
      </c>
      <c r="G28" s="2" t="n"/>
      <c r="H28" t="inlineStr">
        <is>
          <t>2026-10-29</t>
        </is>
      </c>
      <c r="I28" t="inlineStr">
        <is>
          <t>yes</t>
        </is>
      </c>
      <c r="J28" s="2" t="inlineStr">
        <is>
          <t>STS3250-C002 variant (12 V, 50 kg·cm, 1:345); check it suits the neck and wrist</t>
        </is>
      </c>
    </row>
    <row r="29">
      <c r="A29" t="inlineStr">
        <is>
          <t>sts3250</t>
        </is>
      </c>
      <c r="B29" t="inlineStr">
        <is>
          <t>RCDrone</t>
        </is>
      </c>
      <c r="C29" t="inlineStr">
        <is>
          <t>reseller</t>
        </is>
      </c>
      <c r="D29" s="11" t="inlineStr">
        <is>
          <t>https://rcdrone.top/products/feetech-sts3250-servo-motor</t>
        </is>
      </c>
      <c r="E29" s="16" t="n">
        <v>125</v>
      </c>
      <c r="F29" s="2" t="n"/>
      <c r="G29" s="2" t="inlineStr">
        <is>
          <t>sold out</t>
        </is>
      </c>
      <c r="H29" t="inlineStr">
        <is>
          <t>2026-10-29</t>
        </is>
      </c>
      <c r="I29" t="inlineStr">
        <is>
          <t>yes</t>
        </is>
      </c>
      <c r="J29" s="2" t="n"/>
    </row>
  </sheetData>
  <autoFilter ref="A1:J29"/>
  <dataValidations count="1">
    <dataValidation sqref="I2:I29" showDropDown="0" showInputMessage="0" showErrorMessage="0" allowBlank="0" error="Choose one of: yes, no" type="list">
      <formula1>"yes,no"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4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9" customWidth="1" min="3" max="3"/>
    <col width="9" customWidth="1" min="4" max="4"/>
    <col width="13" customWidth="1" min="5" max="5"/>
    <col width="9" customWidth="1" min="6" max="6"/>
    <col width="9" customWidth="1" min="7" max="7"/>
    <col width="18" customWidth="1" min="8" max="8"/>
    <col width="60" customWidth="1" min="9" max="9"/>
    <col width="10" customWidth="1" min="10" max="10"/>
    <col width="40" customWidth="1" min="11" max="11"/>
  </cols>
  <sheetData>
    <row r="1" ht="20" customHeight="1">
      <c r="A1" s="8" t="inlineStr">
        <is>
          <t>Part</t>
        </is>
      </c>
      <c r="B1" s="8" t="inlineStr">
        <is>
          <t>Qty</t>
        </is>
      </c>
      <c r="C1" s="8" t="inlineStr">
        <is>
          <t>Process</t>
        </is>
      </c>
      <c r="D1" s="8" t="inlineStr">
        <is>
          <t>Material</t>
        </is>
      </c>
      <c r="E1" s="8" t="inlineStr">
        <is>
          <t>Form</t>
        </is>
      </c>
      <c r="F1" s="8" t="inlineStr">
        <is>
          <t>Stock mm</t>
        </is>
      </c>
      <c r="G1" s="8" t="inlineStr">
        <is>
          <t>Mass g</t>
        </is>
      </c>
      <c r="H1" s="8" t="inlineStr">
        <is>
          <t>Size mm</t>
        </is>
      </c>
      <c r="I1" s="8" t="inlineStr">
        <is>
          <t>Notes</t>
        </is>
      </c>
      <c r="J1" s="8" t="inlineStr">
        <is>
          <t>Status</t>
        </is>
      </c>
      <c r="K1" s="8" t="inlineStr">
        <is>
          <t>Build notes</t>
        </is>
      </c>
    </row>
    <row r="2">
      <c r="A2" t="inlineStr">
        <is>
          <t>elec_battery_socket</t>
        </is>
      </c>
      <c r="B2" s="9" t="n">
        <v>1</v>
      </c>
      <c r="C2" t="inlineStr">
        <is>
          <t>bought</t>
        </is>
      </c>
      <c r="D2" t="inlineStr">
        <is>
          <t>bought</t>
        </is>
      </c>
      <c r="G2" s="12" t="n">
        <v>15</v>
      </c>
      <c r="H2" t="inlineStr">
        <is>
          <t>31 x 21 x 11</t>
        </is>
      </c>
      <c r="I2" s="2" t="inlineStr">
        <is>
          <t>battery connector, cradle half (AS150 class), at the front of the battery bay</t>
        </is>
      </c>
      <c r="J2" t="inlineStr">
        <is>
          <t>to make</t>
        </is>
      </c>
      <c r="K2" s="2" t="n"/>
    </row>
    <row r="3">
      <c r="A3" t="inlineStr">
        <is>
          <t>elec_bulkhead_arm_{side}</t>
        </is>
      </c>
      <c r="B3" s="9" t="n">
        <v>2</v>
      </c>
      <c r="C3" t="inlineStr">
        <is>
          <t>bought</t>
        </is>
      </c>
      <c r="D3" t="inlineStr">
        <is>
          <t>bought</t>
        </is>
      </c>
      <c r="G3" s="12" t="n">
        <v>15</v>
      </c>
      <c r="H3" t="inlineStr">
        <is>
          <t>30 x 28 x 10</t>
        </is>
      </c>
      <c r="I3" s="2" t="inlineStr">
        <is>
          <t>arm power and signal connectors</t>
        </is>
      </c>
      <c r="J3" t="inlineStr">
        <is>
          <t>to make</t>
        </is>
      </c>
      <c r="K3" s="2" t="n"/>
    </row>
    <row r="4">
      <c r="A4" t="inlineStr">
        <is>
          <t>elec_bulkhead_leg_{side}</t>
        </is>
      </c>
      <c r="B4" s="9" t="n">
        <v>2</v>
      </c>
      <c r="C4" t="inlineStr">
        <is>
          <t>bought</t>
        </is>
      </c>
      <c r="D4" t="inlineStr">
        <is>
          <t>bought</t>
        </is>
      </c>
      <c r="G4" s="12" t="n">
        <v>15</v>
      </c>
      <c r="H4" t="inlineStr">
        <is>
          <t>30 x 28 x 12</t>
        </is>
      </c>
      <c r="I4" s="2" t="inlineStr">
        <is>
          <t>leg power (XT60 class) and signal connectors</t>
        </is>
      </c>
      <c r="J4" t="inlineStr">
        <is>
          <t>to make</t>
        </is>
      </c>
      <c r="K4" s="2" t="n"/>
    </row>
    <row r="5">
      <c r="A5" t="inlineStr">
        <is>
          <t>elec_can_usb_1</t>
        </is>
      </c>
      <c r="B5" s="9" t="n">
        <v>1</v>
      </c>
      <c r="C5" t="inlineStr">
        <is>
          <t>bought</t>
        </is>
      </c>
      <c r="D5" t="inlineStr">
        <is>
          <t>bought</t>
        </is>
      </c>
      <c r="G5" s="12" t="n">
        <v>35</v>
      </c>
      <c r="H5" t="inlineStr">
        <is>
          <t>60 x 22 x 12</t>
        </is>
      </c>
      <c r="I5" s="2" t="inlineStr">
        <is>
          <t>isolated USB-CAN adapter</t>
        </is>
      </c>
      <c r="J5" t="inlineStr">
        <is>
          <t>to make</t>
        </is>
      </c>
      <c r="K5" s="2" t="n"/>
    </row>
    <row r="6">
      <c r="A6" t="inlineStr">
        <is>
          <t>elec_can_usb_2</t>
        </is>
      </c>
      <c r="B6" s="9" t="n">
        <v>1</v>
      </c>
      <c r="C6" t="inlineStr">
        <is>
          <t>bought</t>
        </is>
      </c>
      <c r="D6" t="inlineStr">
        <is>
          <t>bought</t>
        </is>
      </c>
      <c r="G6" s="12" t="n">
        <v>35</v>
      </c>
      <c r="H6" t="inlineStr">
        <is>
          <t>60 x 22 x 12</t>
        </is>
      </c>
      <c r="I6" s="2" t="inlineStr">
        <is>
          <t>isolated USB-CAN adapter</t>
        </is>
      </c>
      <c r="J6" t="inlineStr">
        <is>
          <t>to make</t>
        </is>
      </c>
      <c r="K6" s="2" t="n"/>
    </row>
    <row r="7">
      <c r="A7" t="inlineStr">
        <is>
          <t>elec_can_usb_3</t>
        </is>
      </c>
      <c r="B7" s="9" t="n">
        <v>1</v>
      </c>
      <c r="C7" t="inlineStr">
        <is>
          <t>bought</t>
        </is>
      </c>
      <c r="D7" t="inlineStr">
        <is>
          <t>bought</t>
        </is>
      </c>
      <c r="G7" s="12" t="n">
        <v>35</v>
      </c>
      <c r="H7" t="inlineStr">
        <is>
          <t>60 x 22 x 12</t>
        </is>
      </c>
      <c r="I7" s="2" t="inlineStr">
        <is>
          <t>isolated USB-CAN adapter</t>
        </is>
      </c>
      <c r="J7" t="inlineStr">
        <is>
          <t>to make</t>
        </is>
      </c>
      <c r="K7" s="2" t="n"/>
    </row>
    <row r="8">
      <c r="A8" t="inlineStr">
        <is>
          <t>elec_contactor</t>
        </is>
      </c>
      <c r="B8" s="9" t="n">
        <v>1</v>
      </c>
      <c r="C8" t="inlineStr">
        <is>
          <t>bought</t>
        </is>
      </c>
      <c r="D8" t="inlineStr">
        <is>
          <t>bought</t>
        </is>
      </c>
      <c r="G8" s="12" t="n">
        <v>180</v>
      </c>
      <c r="H8" t="inlineStr">
        <is>
          <t>50 x 45 x 35</t>
        </is>
      </c>
      <c r="I8" s="2" t="inlineStr">
        <is>
          <t>main contactor, 48 V DC, opened by the e-stop chain</t>
        </is>
      </c>
      <c r="J8" t="inlineStr">
        <is>
          <t>to make</t>
        </is>
      </c>
      <c r="K8" s="2" t="n"/>
    </row>
    <row r="9">
      <c r="A9" t="inlineStr">
        <is>
          <t>elec_dcdc_compute</t>
        </is>
      </c>
      <c r="B9" s="9" t="n">
        <v>1</v>
      </c>
      <c r="C9" t="inlineStr">
        <is>
          <t>bought</t>
        </is>
      </c>
      <c r="D9" t="inlineStr">
        <is>
          <t>bought</t>
        </is>
      </c>
      <c r="G9" s="12" t="n">
        <v>120</v>
      </c>
      <c r="H9" t="inlineStr">
        <is>
          <t>60 x 40 x 13</t>
        </is>
      </c>
      <c r="I9" s="2" t="inlineStr">
        <is>
          <t>DC-DC 48 V to 19-20 V, 120 W+, ahead of the contactor</t>
        </is>
      </c>
      <c r="J9" t="inlineStr">
        <is>
          <t>to make</t>
        </is>
      </c>
      <c r="K9" s="2" t="n"/>
    </row>
    <row r="10">
      <c r="A10" t="inlineStr">
        <is>
          <t>elec_dcdc_servo</t>
        </is>
      </c>
      <c r="B10" s="9" t="n">
        <v>1</v>
      </c>
      <c r="C10" t="inlineStr">
        <is>
          <t>bought</t>
        </is>
      </c>
      <c r="D10" t="inlineStr">
        <is>
          <t>bought</t>
        </is>
      </c>
      <c r="G10" s="12" t="n">
        <v>110</v>
      </c>
      <c r="H10" t="inlineStr">
        <is>
          <t>60 x 34 x 25</t>
        </is>
      </c>
      <c r="I10" s="2" t="inlineStr">
        <is>
          <t>DC-DC 48 V to 12 V, 10 A (servos)</t>
        </is>
      </c>
      <c r="J10" t="inlineStr">
        <is>
          <t>to make</t>
        </is>
      </c>
      <c r="K10" s="2" t="n"/>
    </row>
    <row r="11">
      <c r="A11" t="inlineStr">
        <is>
          <t>elec_estop_relay</t>
        </is>
      </c>
      <c r="B11" s="9" t="n">
        <v>1</v>
      </c>
      <c r="C11" t="inlineStr">
        <is>
          <t>bought</t>
        </is>
      </c>
      <c r="D11" t="inlineStr">
        <is>
          <t>bought</t>
        </is>
      </c>
      <c r="G11" s="12" t="n">
        <v>60</v>
      </c>
      <c r="H11" t="inlineStr">
        <is>
          <t>40 x 35 x 14</t>
        </is>
      </c>
      <c r="I11" s="2" t="inlineStr">
        <is>
          <t>wireless e-stop receiver and watchdog relay</t>
        </is>
      </c>
      <c r="J11" t="inlineStr">
        <is>
          <t>to make</t>
        </is>
      </c>
      <c r="K11" s="2" t="n"/>
    </row>
    <row r="12">
      <c r="A12" t="inlineStr">
        <is>
          <t>elec_harness_pelvis</t>
        </is>
      </c>
      <c r="B12" s="9" t="n">
        <v>1</v>
      </c>
      <c r="C12" t="inlineStr">
        <is>
          <t>bought</t>
        </is>
      </c>
      <c r="D12" t="inlineStr">
        <is>
          <t>bought</t>
        </is>
      </c>
      <c r="G12" s="12" t="n">
        <v>220</v>
      </c>
      <c r="H12" t="inlineStr">
        <is>
          <t>10 x 10 x 10</t>
        </is>
      </c>
      <c r="I12" s="2" t="inlineStr">
        <is>
          <t>harness allowance: pelvis (limb-root connectors on the bulkheads)</t>
        </is>
      </c>
      <c r="J12" t="inlineStr">
        <is>
          <t>to make</t>
        </is>
      </c>
      <c r="K12" s="2" t="n"/>
    </row>
    <row r="13">
      <c r="A13" t="inlineStr">
        <is>
          <t>elec_harness_torso</t>
        </is>
      </c>
      <c r="B13" s="9" t="n">
        <v>1</v>
      </c>
      <c r="C13" t="inlineStr">
        <is>
          <t>bought</t>
        </is>
      </c>
      <c r="D13" t="inlineStr">
        <is>
          <t>bought</t>
        </is>
      </c>
      <c r="G13" s="12" t="n">
        <v>270</v>
      </c>
      <c r="H13" t="inlineStr">
        <is>
          <t>10 x 10 x 10</t>
        </is>
      </c>
      <c r="I13" s="2" t="inlineStr">
        <is>
          <t>harness allowance: torso (limb-root connectors on the bulkheads)</t>
        </is>
      </c>
      <c r="J13" t="inlineStr">
        <is>
          <t>to make</t>
        </is>
      </c>
      <c r="K13" s="2" t="n"/>
    </row>
    <row r="14">
      <c r="A14" t="inlineStr">
        <is>
          <t>elec_imu</t>
        </is>
      </c>
      <c r="B14" s="9" t="n">
        <v>1</v>
      </c>
      <c r="C14" t="inlineStr">
        <is>
          <t>bought</t>
        </is>
      </c>
      <c r="D14" t="inlineStr">
        <is>
          <t>bought</t>
        </is>
      </c>
      <c r="G14" s="12" t="n">
        <v>60</v>
      </c>
      <c r="H14" t="inlineStr">
        <is>
          <t>40 x 30 x 20</t>
        </is>
      </c>
      <c r="I14" s="2" t="inlineStr">
        <is>
          <t>IMU on the pelvis, near the hip axes</t>
        </is>
      </c>
      <c r="J14" t="inlineStr">
        <is>
          <t>to make</t>
        </is>
      </c>
      <c r="K14" s="2" t="n"/>
    </row>
    <row r="15">
      <c r="A15" t="inlineStr">
        <is>
          <t>elec_power_board_pelvis</t>
        </is>
      </c>
      <c r="B15" s="9" t="n">
        <v>1</v>
      </c>
      <c r="C15" t="inlineStr">
        <is>
          <t>bought</t>
        </is>
      </c>
      <c r="D15" t="inlineStr">
        <is>
          <t>bought</t>
        </is>
      </c>
      <c r="G15" s="12" t="n">
        <v>150</v>
      </c>
      <c r="H15" t="inlineStr">
        <is>
          <t>80 x 50 x 34</t>
        </is>
      </c>
      <c r="I15" s="2" t="inlineStr">
        <is>
          <t>pelvis power board: leg branch fuses</t>
        </is>
      </c>
      <c r="J15" t="inlineStr">
        <is>
          <t>to make</t>
        </is>
      </c>
      <c r="K15" s="2" t="n"/>
    </row>
    <row r="16">
      <c r="A16" t="inlineStr">
        <is>
          <t>elec_power_board_torso</t>
        </is>
      </c>
      <c r="B16" s="9" t="n">
        <v>1</v>
      </c>
      <c r="C16" t="inlineStr">
        <is>
          <t>bought</t>
        </is>
      </c>
      <c r="D16" t="inlineStr">
        <is>
          <t>bought</t>
        </is>
      </c>
      <c r="G16" s="12" t="n">
        <v>90</v>
      </c>
      <c r="H16" t="inlineStr">
        <is>
          <t>50 x 30 x 12</t>
        </is>
      </c>
      <c r="I16" s="2" t="inlineStr">
        <is>
          <t>torso power board: bus bars, arm branch fuses</t>
        </is>
      </c>
      <c r="J16" t="inlineStr">
        <is>
          <t>to make</t>
        </is>
      </c>
      <c r="K16" s="2" t="n"/>
    </row>
    <row r="17">
      <c r="A17" t="inlineStr">
        <is>
          <t>elec_precharge</t>
        </is>
      </c>
      <c r="B17" s="9" t="n">
        <v>1</v>
      </c>
      <c r="C17" t="inlineStr">
        <is>
          <t>bought</t>
        </is>
      </c>
      <c r="D17" t="inlineStr">
        <is>
          <t>bought</t>
        </is>
      </c>
      <c r="G17" s="12" t="n">
        <v>30</v>
      </c>
      <c r="H17" t="inlineStr">
        <is>
          <t>40 x 35 x 12</t>
        </is>
      </c>
      <c r="I17" s="2" t="inlineStr">
        <is>
          <t>precharge resistor and relay, across the contactor</t>
        </is>
      </c>
      <c r="J17" t="inlineStr">
        <is>
          <t>to make</t>
        </is>
      </c>
      <c r="K17" s="2" t="n"/>
    </row>
    <row r="18">
      <c r="A18" t="inlineStr">
        <is>
          <t>head_camera</t>
        </is>
      </c>
      <c r="B18" s="9" t="n">
        <v>1</v>
      </c>
      <c r="C18" t="inlineStr">
        <is>
          <t>bought</t>
        </is>
      </c>
      <c r="D18" t="inlineStr">
        <is>
          <t>bought</t>
        </is>
      </c>
      <c r="G18" s="12" t="n">
        <v>133</v>
      </c>
      <c r="H18" t="inlineStr">
        <is>
          <t>124 x 29 x 27</t>
        </is>
      </c>
      <c r="I18" s="2" t="n"/>
      <c r="J18" t="inlineStr">
        <is>
          <t>to make</t>
        </is>
      </c>
      <c r="K18" s="2" t="n"/>
    </row>
    <row r="19">
      <c r="A19" t="inlineStr">
        <is>
          <t>{side}_ankle_rod_a</t>
        </is>
      </c>
      <c r="B19" s="9" t="n">
        <v>2</v>
      </c>
      <c r="C19" t="inlineStr">
        <is>
          <t>bought</t>
        </is>
      </c>
      <c r="D19" t="inlineStr">
        <is>
          <t>bought</t>
        </is>
      </c>
      <c r="G19" s="12" t="n">
        <v>30</v>
      </c>
      <c r="H19" t="inlineStr">
        <is>
          <t>91 x 20 x 11</t>
        </is>
      </c>
      <c r="I19" s="2" t="inlineStr">
        <is>
          <t>steel tube with two M6 rod ends</t>
        </is>
      </c>
      <c r="J19" t="inlineStr">
        <is>
          <t>to make</t>
        </is>
      </c>
      <c r="K19" s="2" t="n"/>
    </row>
    <row r="20">
      <c r="A20" t="inlineStr">
        <is>
          <t>{side}_ankle_rod_b</t>
        </is>
      </c>
      <c r="B20" s="9" t="n">
        <v>2</v>
      </c>
      <c r="C20" t="inlineStr">
        <is>
          <t>bought</t>
        </is>
      </c>
      <c r="D20" t="inlineStr">
        <is>
          <t>bought</t>
        </is>
      </c>
      <c r="G20" s="12" t="n">
        <v>45</v>
      </c>
      <c r="H20" t="inlineStr">
        <is>
          <t>191 x 50 x 11</t>
        </is>
      </c>
      <c r="I20" s="2" t="inlineStr">
        <is>
          <t>steel tube with two M6 rod ends</t>
        </is>
      </c>
      <c r="J20" t="inlineStr">
        <is>
          <t>to make</t>
        </is>
      </c>
      <c r="K20" s="2" t="n"/>
    </row>
    <row r="21">
      <c r="A21" t="inlineStr">
        <is>
          <t>{side}_hand</t>
        </is>
      </c>
      <c r="B21" s="9" t="n">
        <v>2</v>
      </c>
      <c r="C21" t="inlineStr">
        <is>
          <t>bought</t>
        </is>
      </c>
      <c r="D21" t="inlineStr">
        <is>
          <t>bought</t>
        </is>
      </c>
      <c r="G21" s="12" t="n">
        <v>400</v>
      </c>
      <c r="H21" t="inlineStr">
        <is>
          <t>170 x 134 x 119</t>
        </is>
      </c>
      <c r="I21" s="2" t="inlineStr">
        <is>
          <t>AmazingHand by Pollen Robotics (CC-BY-4.0), description/third_party/amazing_hand</t>
        </is>
      </c>
      <c r="J21" t="inlineStr">
        <is>
          <t>to make</t>
        </is>
      </c>
      <c r="K21" s="2" t="n"/>
    </row>
    <row r="22">
      <c r="A22" t="inlineStr">
        <is>
          <t>{side}_hip_pitch_bearing</t>
        </is>
      </c>
      <c r="B22" s="9" t="n">
        <v>2</v>
      </c>
      <c r="C22" t="inlineStr">
        <is>
          <t>bought</t>
        </is>
      </c>
      <c r="D22" t="inlineStr">
        <is>
          <t>bought</t>
        </is>
      </c>
      <c r="G22" s="12" t="n">
        <v>25</v>
      </c>
      <c r="H22" t="inlineStr">
        <is>
          <t>42 x 42 x 7</t>
        </is>
      </c>
      <c r="I22" s="2" t="inlineStr">
        <is>
          <t>6806-2RS far-side bearing</t>
        </is>
      </c>
      <c r="J22" t="inlineStr">
        <is>
          <t>to make</t>
        </is>
      </c>
      <c r="K22" s="2" t="n"/>
    </row>
    <row r="23">
      <c r="A23" t="inlineStr">
        <is>
          <t>{side}_hip_roll_bearing</t>
        </is>
      </c>
      <c r="B23" s="9" t="n">
        <v>2</v>
      </c>
      <c r="C23" t="inlineStr">
        <is>
          <t>bought</t>
        </is>
      </c>
      <c r="D23" t="inlineStr">
        <is>
          <t>bought</t>
        </is>
      </c>
      <c r="G23" s="12" t="n">
        <v>25</v>
      </c>
      <c r="H23" t="inlineStr">
        <is>
          <t>42 x 42 x 7</t>
        </is>
      </c>
      <c r="I23" s="2" t="inlineStr">
        <is>
          <t>6806-2RS far-side bearing</t>
        </is>
      </c>
      <c r="J23" t="inlineStr">
        <is>
          <t>to make</t>
        </is>
      </c>
      <c r="K23" s="2" t="n"/>
    </row>
    <row r="24">
      <c r="A24" t="inlineStr">
        <is>
          <t>{side}_knee_bearing</t>
        </is>
      </c>
      <c r="B24" s="9" t="n">
        <v>2</v>
      </c>
      <c r="C24" t="inlineStr">
        <is>
          <t>bought</t>
        </is>
      </c>
      <c r="D24" t="inlineStr">
        <is>
          <t>bought</t>
        </is>
      </c>
      <c r="G24" s="12" t="n">
        <v>25</v>
      </c>
      <c r="H24" t="inlineStr">
        <is>
          <t>42 x 42 x 7</t>
        </is>
      </c>
      <c r="I24" s="2" t="inlineStr">
        <is>
          <t>6806-2RS far-side bearing</t>
        </is>
      </c>
      <c r="J24" t="inlineStr">
        <is>
          <t>to make</t>
        </is>
      </c>
      <c r="K24" s="2" t="n"/>
    </row>
    <row r="25">
      <c r="A25" t="inlineStr">
        <is>
          <t>neck_bracket</t>
        </is>
      </c>
      <c r="B25" s="9" t="n">
        <v>1</v>
      </c>
      <c r="C25" t="inlineStr">
        <is>
          <t>cnc</t>
        </is>
      </c>
      <c r="D25" t="inlineStr">
        <is>
          <t>al6061</t>
        </is>
      </c>
      <c r="E25" t="inlineStr">
        <is>
          <t>3D</t>
        </is>
      </c>
      <c r="F25" t="n">
        <v>40</v>
      </c>
      <c r="G25" s="12" t="n">
        <v>84.59999999999999</v>
      </c>
      <c r="H25" t="inlineStr">
        <is>
          <t>62 x 50 x 40</t>
        </is>
      </c>
      <c r="I25" s="2" t="n"/>
      <c r="J25" t="inlineStr">
        <is>
          <t>to make</t>
        </is>
      </c>
      <c r="K25" s="2" t="n"/>
    </row>
    <row r="26">
      <c r="A26" t="inlineStr">
        <is>
          <t>pelvis_roll_mount_{side}</t>
        </is>
      </c>
      <c r="B26" s="9" t="n">
        <v>2</v>
      </c>
      <c r="C26" t="inlineStr">
        <is>
          <t>cnc</t>
        </is>
      </c>
      <c r="D26" t="inlineStr">
        <is>
          <t>al6061</t>
        </is>
      </c>
      <c r="E26" t="inlineStr">
        <is>
          <t>3D</t>
        </is>
      </c>
      <c r="F26" t="n">
        <v>15</v>
      </c>
      <c r="G26" s="12" t="n">
        <v>45.9</v>
      </c>
      <c r="H26" t="inlineStr">
        <is>
          <t>120 x 120 x 13</t>
        </is>
      </c>
      <c r="I26" s="2" t="n"/>
      <c r="J26" t="inlineStr">
        <is>
          <t>to make</t>
        </is>
      </c>
      <c r="K26" s="2" t="n"/>
    </row>
    <row r="27">
      <c r="A27" t="inlineStr">
        <is>
          <t>pelvis_waist_mount</t>
        </is>
      </c>
      <c r="B27" s="9" t="n">
        <v>1</v>
      </c>
      <c r="C27" t="inlineStr">
        <is>
          <t>cnc</t>
        </is>
      </c>
      <c r="D27" t="inlineStr">
        <is>
          <t>al6061</t>
        </is>
      </c>
      <c r="E27" t="inlineStr">
        <is>
          <t>3D</t>
        </is>
      </c>
      <c r="F27" t="n">
        <v>15</v>
      </c>
      <c r="G27" s="12" t="n">
        <v>54.1</v>
      </c>
      <c r="H27" t="inlineStr">
        <is>
          <t>112 x 112 x 12</t>
        </is>
      </c>
      <c r="I27" s="2" t="n"/>
      <c r="J27" t="inlineStr">
        <is>
          <t>to make</t>
        </is>
      </c>
      <c r="K27" s="2" t="n"/>
    </row>
    <row r="28">
      <c r="A28" t="inlineStr">
        <is>
          <t>torso_base</t>
        </is>
      </c>
      <c r="B28" s="9" t="n">
        <v>1</v>
      </c>
      <c r="C28" t="inlineStr">
        <is>
          <t>cnc</t>
        </is>
      </c>
      <c r="D28" t="inlineStr">
        <is>
          <t>al6061</t>
        </is>
      </c>
      <c r="E28" t="inlineStr">
        <is>
          <t>flat 6.0 mm</t>
        </is>
      </c>
      <c r="F28" t="n">
        <v>6</v>
      </c>
      <c r="G28" s="12" t="n">
        <v>236.2</v>
      </c>
      <c r="H28" t="inlineStr">
        <is>
          <t>150 x 122 x 6</t>
        </is>
      </c>
      <c r="I28" s="2" t="n"/>
      <c r="J28" t="inlineStr">
        <is>
          <t>to make</t>
        </is>
      </c>
      <c r="K28" s="2" t="n"/>
    </row>
    <row r="29">
      <c r="A29" t="inlineStr">
        <is>
          <t>torso_battery_shelf</t>
        </is>
      </c>
      <c r="B29" s="9" t="n">
        <v>1</v>
      </c>
      <c r="C29" t="inlineStr">
        <is>
          <t>cnc</t>
        </is>
      </c>
      <c r="D29" t="inlineStr">
        <is>
          <t>al6061</t>
        </is>
      </c>
      <c r="E29" t="inlineStr">
        <is>
          <t>flat 4.0 mm</t>
        </is>
      </c>
      <c r="F29" t="n">
        <v>4</v>
      </c>
      <c r="G29" s="12" t="n">
        <v>65.2</v>
      </c>
      <c r="H29" t="inlineStr">
        <is>
          <t>146 x 60 x 4</t>
        </is>
      </c>
      <c r="I29" s="2" t="n"/>
      <c r="J29" t="inlineStr">
        <is>
          <t>to make</t>
        </is>
      </c>
      <c r="K29" s="2" t="n"/>
    </row>
    <row r="30">
      <c r="A30" t="inlineStr">
        <is>
          <t>torso_bridge</t>
        </is>
      </c>
      <c r="B30" s="9" t="n">
        <v>1</v>
      </c>
      <c r="C30" t="inlineStr">
        <is>
          <t>cnc</t>
        </is>
      </c>
      <c r="D30" t="inlineStr">
        <is>
          <t>al6061</t>
        </is>
      </c>
      <c r="E30" t="inlineStr">
        <is>
          <t>flat 6.0 mm</t>
        </is>
      </c>
      <c r="F30" t="n">
        <v>6</v>
      </c>
      <c r="G30" s="12" t="n">
        <v>136.5</v>
      </c>
      <c r="H30" t="inlineStr">
        <is>
          <t>116 x 112 x 6</t>
        </is>
      </c>
      <c r="I30" s="2" t="n"/>
      <c r="J30" t="inlineStr">
        <is>
          <t>to make</t>
        </is>
      </c>
      <c r="K30" s="2" t="n"/>
    </row>
    <row r="31">
      <c r="A31" t="inlineStr">
        <is>
          <t>torso_compute_plate</t>
        </is>
      </c>
      <c r="B31" s="9" t="n">
        <v>1</v>
      </c>
      <c r="C31" t="inlineStr">
        <is>
          <t>cnc</t>
        </is>
      </c>
      <c r="D31" t="inlineStr">
        <is>
          <t>al6061</t>
        </is>
      </c>
      <c r="E31" t="inlineStr">
        <is>
          <t>flat 3.0 mm</t>
        </is>
      </c>
      <c r="F31" t="n">
        <v>3</v>
      </c>
      <c r="G31" s="12" t="n">
        <v>67</v>
      </c>
      <c r="H31" t="inlineStr">
        <is>
          <t>128 x 104 x 3</t>
        </is>
      </c>
      <c r="I31" s="2" t="n"/>
      <c r="J31" t="inlineStr">
        <is>
          <t>to make</t>
        </is>
      </c>
      <c r="K31" s="2" t="n"/>
    </row>
    <row r="32">
      <c r="A32" t="inlineStr">
        <is>
          <t>torso_shoulder_plate_{side}</t>
        </is>
      </c>
      <c r="B32" s="9" t="n">
        <v>2</v>
      </c>
      <c r="C32" t="inlineStr">
        <is>
          <t>cnc</t>
        </is>
      </c>
      <c r="D32" t="inlineStr">
        <is>
          <t>al6061</t>
        </is>
      </c>
      <c r="E32" t="inlineStr">
        <is>
          <t>flat 6.0 mm</t>
        </is>
      </c>
      <c r="F32" t="n">
        <v>6</v>
      </c>
      <c r="G32" s="12" t="n">
        <v>80.3</v>
      </c>
      <c r="H32" t="inlineStr">
        <is>
          <t>142 x 129 x 6</t>
        </is>
      </c>
      <c r="I32" s="2" t="n"/>
      <c r="J32" t="inlineStr">
        <is>
          <t>to make</t>
        </is>
      </c>
      <c r="K32" s="2" t="n"/>
    </row>
    <row r="33">
      <c r="A33" t="inlineStr">
        <is>
          <t>torso_spacer_l0</t>
        </is>
      </c>
      <c r="B33" s="9" t="n">
        <v>1</v>
      </c>
      <c r="C33" t="inlineStr">
        <is>
          <t>cnc</t>
        </is>
      </c>
      <c r="D33" t="inlineStr">
        <is>
          <t>al6061</t>
        </is>
      </c>
      <c r="E33" t="inlineStr">
        <is>
          <t>flat 11.8 mm</t>
        </is>
      </c>
      <c r="F33" t="n">
        <v>12</v>
      </c>
      <c r="G33" s="12" t="n">
        <v>11.5</v>
      </c>
      <c r="H33" t="inlineStr">
        <is>
          <t>20 x 20 x 12</t>
        </is>
      </c>
      <c r="I33" s="2" t="n"/>
      <c r="J33" t="inlineStr">
        <is>
          <t>to make</t>
        </is>
      </c>
      <c r="K33" s="2" t="n"/>
    </row>
    <row r="34">
      <c r="A34" t="inlineStr">
        <is>
          <t>torso_spacer_l1</t>
        </is>
      </c>
      <c r="B34" s="9" t="n">
        <v>1</v>
      </c>
      <c r="C34" t="inlineStr">
        <is>
          <t>cnc</t>
        </is>
      </c>
      <c r="D34" t="inlineStr">
        <is>
          <t>al6061</t>
        </is>
      </c>
      <c r="E34" t="inlineStr">
        <is>
          <t>flat 11.8 mm</t>
        </is>
      </c>
      <c r="F34" t="n">
        <v>12</v>
      </c>
      <c r="G34" s="12" t="n">
        <v>11.5</v>
      </c>
      <c r="H34" t="inlineStr">
        <is>
          <t>20 x 20 x 12</t>
        </is>
      </c>
      <c r="I34" s="2" t="n"/>
      <c r="J34" t="inlineStr">
        <is>
          <t>to make</t>
        </is>
      </c>
      <c r="K34" s="2" t="n"/>
    </row>
    <row r="35">
      <c r="A35" t="inlineStr">
        <is>
          <t>torso_spacer_r0</t>
        </is>
      </c>
      <c r="B35" s="9" t="n">
        <v>1</v>
      </c>
      <c r="C35" t="inlineStr">
        <is>
          <t>cnc</t>
        </is>
      </c>
      <c r="D35" t="inlineStr">
        <is>
          <t>al6061</t>
        </is>
      </c>
      <c r="E35" t="inlineStr">
        <is>
          <t>flat 11.8 mm</t>
        </is>
      </c>
      <c r="F35" t="n">
        <v>12</v>
      </c>
      <c r="G35" s="12" t="n">
        <v>11.5</v>
      </c>
      <c r="H35" t="inlineStr">
        <is>
          <t>20 x 20 x 12</t>
        </is>
      </c>
      <c r="I35" s="2" t="n"/>
      <c r="J35" t="inlineStr">
        <is>
          <t>to make</t>
        </is>
      </c>
      <c r="K35" s="2" t="n"/>
    </row>
    <row r="36">
      <c r="A36" t="inlineStr">
        <is>
          <t>torso_spacer_r1</t>
        </is>
      </c>
      <c r="B36" s="9" t="n">
        <v>1</v>
      </c>
      <c r="C36" t="inlineStr">
        <is>
          <t>cnc</t>
        </is>
      </c>
      <c r="D36" t="inlineStr">
        <is>
          <t>al6061</t>
        </is>
      </c>
      <c r="E36" t="inlineStr">
        <is>
          <t>flat 11.8 mm</t>
        </is>
      </c>
      <c r="F36" t="n">
        <v>12</v>
      </c>
      <c r="G36" s="12" t="n">
        <v>11.5</v>
      </c>
      <c r="H36" t="inlineStr">
        <is>
          <t>20 x 20 x 12</t>
        </is>
      </c>
      <c r="I36" s="2" t="n"/>
      <c r="J36" t="inlineStr">
        <is>
          <t>to make</t>
        </is>
      </c>
      <c r="K36" s="2" t="n"/>
    </row>
    <row r="37">
      <c r="A37" t="inlineStr">
        <is>
          <t>torso_waist_flange</t>
        </is>
      </c>
      <c r="B37" s="9" t="n">
        <v>1</v>
      </c>
      <c r="C37" t="inlineStr">
        <is>
          <t>cnc</t>
        </is>
      </c>
      <c r="D37" t="inlineStr">
        <is>
          <t>al6061</t>
        </is>
      </c>
      <c r="E37" t="inlineStr">
        <is>
          <t>3D</t>
        </is>
      </c>
      <c r="F37" t="n">
        <v>6</v>
      </c>
      <c r="G37" s="12" t="n">
        <v>64.2</v>
      </c>
      <c r="H37" t="inlineStr">
        <is>
          <t>84 x 84 x 6</t>
        </is>
      </c>
      <c r="I37" s="2" t="n"/>
      <c r="J37" t="inlineStr">
        <is>
          <t>to make</t>
        </is>
      </c>
      <c r="K37" s="2" t="n"/>
    </row>
    <row r="38">
      <c r="A38" t="inlineStr">
        <is>
          <t>{side}_ankle_mount_a</t>
        </is>
      </c>
      <c r="B38" s="9" t="n">
        <v>2</v>
      </c>
      <c r="C38" t="inlineStr">
        <is>
          <t>cnc</t>
        </is>
      </c>
      <c r="D38" t="inlineStr">
        <is>
          <t>al6061</t>
        </is>
      </c>
      <c r="E38" t="inlineStr">
        <is>
          <t>3D</t>
        </is>
      </c>
      <c r="F38" t="n">
        <v>15</v>
      </c>
      <c r="G38" s="12" t="n">
        <v>54.1</v>
      </c>
      <c r="H38" t="inlineStr">
        <is>
          <t>112 x 112 x 12</t>
        </is>
      </c>
      <c r="I38" s="2" t="n"/>
      <c r="J38" t="inlineStr">
        <is>
          <t>to make</t>
        </is>
      </c>
      <c r="K38" s="2" t="n"/>
    </row>
    <row r="39">
      <c r="A39" t="inlineStr">
        <is>
          <t>{side}_ankle_mount_b</t>
        </is>
      </c>
      <c r="B39" s="9" t="n">
        <v>2</v>
      </c>
      <c r="C39" t="inlineStr">
        <is>
          <t>cnc</t>
        </is>
      </c>
      <c r="D39" t="inlineStr">
        <is>
          <t>al6061</t>
        </is>
      </c>
      <c r="E39" t="inlineStr">
        <is>
          <t>3D</t>
        </is>
      </c>
      <c r="F39" t="n">
        <v>15</v>
      </c>
      <c r="G39" s="12" t="n">
        <v>54.1</v>
      </c>
      <c r="H39" t="inlineStr">
        <is>
          <t>112 x 112 x 12</t>
        </is>
      </c>
      <c r="I39" s="2" t="n"/>
      <c r="J39" t="inlineStr">
        <is>
          <t>to make</t>
        </is>
      </c>
      <c r="K39" s="2" t="n"/>
    </row>
    <row r="40">
      <c r="A40" t="inlineStr">
        <is>
          <t>{side}_foot_lug_back</t>
        </is>
      </c>
      <c r="B40" s="9" t="n">
        <v>2</v>
      </c>
      <c r="C40" t="inlineStr">
        <is>
          <t>cnc</t>
        </is>
      </c>
      <c r="D40" t="inlineStr">
        <is>
          <t>al6061</t>
        </is>
      </c>
      <c r="E40" t="inlineStr">
        <is>
          <t>flat 8.0 mm</t>
        </is>
      </c>
      <c r="F40" t="n">
        <v>8</v>
      </c>
      <c r="G40" s="12" t="n">
        <v>45.4</v>
      </c>
      <c r="H40" t="inlineStr">
        <is>
          <t>66 x 36 x 8</t>
        </is>
      </c>
      <c r="I40" s="2" t="n"/>
      <c r="J40" t="inlineStr">
        <is>
          <t>to make</t>
        </is>
      </c>
      <c r="K40" s="2" t="n"/>
    </row>
    <row r="41">
      <c r="A41" t="inlineStr">
        <is>
          <t>{side}_foot_lug_front</t>
        </is>
      </c>
      <c r="B41" s="9" t="n">
        <v>2</v>
      </c>
      <c r="C41" t="inlineStr">
        <is>
          <t>cnc</t>
        </is>
      </c>
      <c r="D41" t="inlineStr">
        <is>
          <t>al6061</t>
        </is>
      </c>
      <c r="E41" t="inlineStr">
        <is>
          <t>flat 8.0 mm</t>
        </is>
      </c>
      <c r="F41" t="n">
        <v>8</v>
      </c>
      <c r="G41" s="12" t="n">
        <v>45.4</v>
      </c>
      <c r="H41" t="inlineStr">
        <is>
          <t>66 x 36 x 8</t>
        </is>
      </c>
      <c r="I41" s="2" t="n"/>
      <c r="J41" t="inlineStr">
        <is>
          <t>to make</t>
        </is>
      </c>
      <c r="K41" s="2" t="n"/>
    </row>
    <row r="42">
      <c r="A42" t="inlineStr">
        <is>
          <t>{side}_foot_post_a</t>
        </is>
      </c>
      <c r="B42" s="9" t="n">
        <v>2</v>
      </c>
      <c r="C42" t="inlineStr">
        <is>
          <t>cnc</t>
        </is>
      </c>
      <c r="D42" t="inlineStr">
        <is>
          <t>al6061</t>
        </is>
      </c>
      <c r="E42" t="inlineStr">
        <is>
          <t>flat 18.0 mm</t>
        </is>
      </c>
      <c r="F42" t="n">
        <v>20</v>
      </c>
      <c r="G42" s="12" t="n">
        <v>38.1</v>
      </c>
      <c r="H42" t="inlineStr">
        <is>
          <t>44 x 18 x 18</t>
        </is>
      </c>
      <c r="I42" s="2" t="n"/>
      <c r="J42" t="inlineStr">
        <is>
          <t>to make</t>
        </is>
      </c>
      <c r="K42" s="2" t="n"/>
    </row>
    <row r="43">
      <c r="A43" t="inlineStr">
        <is>
          <t>{side}_foot_post_b</t>
        </is>
      </c>
      <c r="B43" s="9" t="n">
        <v>2</v>
      </c>
      <c r="C43" t="inlineStr">
        <is>
          <t>cnc</t>
        </is>
      </c>
      <c r="D43" t="inlineStr">
        <is>
          <t>al6061</t>
        </is>
      </c>
      <c r="E43" t="inlineStr">
        <is>
          <t>flat 18.0 mm</t>
        </is>
      </c>
      <c r="F43" t="n">
        <v>20</v>
      </c>
      <c r="G43" s="12" t="n">
        <v>38.1</v>
      </c>
      <c r="H43" t="inlineStr">
        <is>
          <t>44 x 18 x 18</t>
        </is>
      </c>
      <c r="I43" s="2" t="n"/>
      <c r="J43" t="inlineStr">
        <is>
          <t>to make</t>
        </is>
      </c>
      <c r="K43" s="2" t="n"/>
    </row>
    <row r="44">
      <c r="A44" t="inlineStr">
        <is>
          <t>{side}_foot_rib_a</t>
        </is>
      </c>
      <c r="B44" s="9" t="n">
        <v>2</v>
      </c>
      <c r="C44" t="inlineStr">
        <is>
          <t>cnc</t>
        </is>
      </c>
      <c r="D44" t="inlineStr">
        <is>
          <t>al6061</t>
        </is>
      </c>
      <c r="E44" t="inlineStr">
        <is>
          <t>flat 6.0 mm</t>
        </is>
      </c>
      <c r="F44" t="n">
        <v>6</v>
      </c>
      <c r="G44" s="12" t="n">
        <v>38.9</v>
      </c>
      <c r="H44" t="inlineStr">
        <is>
          <t>150 x 16 x 6</t>
        </is>
      </c>
      <c r="I44" s="2" t="n"/>
      <c r="J44" t="inlineStr">
        <is>
          <t>to make</t>
        </is>
      </c>
      <c r="K44" s="2" t="n"/>
    </row>
    <row r="45">
      <c r="A45" t="inlineStr">
        <is>
          <t>{side}_foot_rib_b</t>
        </is>
      </c>
      <c r="B45" s="9" t="n">
        <v>2</v>
      </c>
      <c r="C45" t="inlineStr">
        <is>
          <t>cnc</t>
        </is>
      </c>
      <c r="D45" t="inlineStr">
        <is>
          <t>al6061</t>
        </is>
      </c>
      <c r="E45" t="inlineStr">
        <is>
          <t>flat 6.0 mm</t>
        </is>
      </c>
      <c r="F45" t="n">
        <v>6</v>
      </c>
      <c r="G45" s="12" t="n">
        <v>38.9</v>
      </c>
      <c r="H45" t="inlineStr">
        <is>
          <t>150 x 16 x 6</t>
        </is>
      </c>
      <c r="I45" s="2" t="n"/>
      <c r="J45" t="inlineStr">
        <is>
          <t>to make</t>
        </is>
      </c>
      <c r="K45" s="2" t="n"/>
    </row>
    <row r="46">
      <c r="A46" t="inlineStr">
        <is>
          <t>{side}_foot_rib_c</t>
        </is>
      </c>
      <c r="B46" s="9" t="n">
        <v>2</v>
      </c>
      <c r="C46" t="inlineStr">
        <is>
          <t>cnc</t>
        </is>
      </c>
      <c r="D46" t="inlineStr">
        <is>
          <t>al6061</t>
        </is>
      </c>
      <c r="E46" t="inlineStr">
        <is>
          <t>flat 6.0 mm</t>
        </is>
      </c>
      <c r="F46" t="n">
        <v>6</v>
      </c>
      <c r="G46" s="12" t="n">
        <v>33</v>
      </c>
      <c r="H46" t="inlineStr">
        <is>
          <t>102 x 20 x 6</t>
        </is>
      </c>
      <c r="I46" s="2" t="n"/>
      <c r="J46" t="inlineStr">
        <is>
          <t>to make</t>
        </is>
      </c>
      <c r="K46" s="2" t="n"/>
    </row>
    <row r="47">
      <c r="A47" t="inlineStr">
        <is>
          <t>{side}_forearm_flange</t>
        </is>
      </c>
      <c r="B47" s="9" t="n">
        <v>2</v>
      </c>
      <c r="C47" t="inlineStr">
        <is>
          <t>cnc</t>
        </is>
      </c>
      <c r="D47" t="inlineStr">
        <is>
          <t>al6061</t>
        </is>
      </c>
      <c r="E47" t="inlineStr">
        <is>
          <t>3D</t>
        </is>
      </c>
      <c r="F47" t="n">
        <v>6</v>
      </c>
      <c r="G47" s="12" t="n">
        <v>49.7</v>
      </c>
      <c r="H47" t="inlineStr">
        <is>
          <t>72 x 72 x 6</t>
        </is>
      </c>
      <c r="I47" s="2" t="n"/>
      <c r="J47" t="inlineStr">
        <is>
          <t>to make</t>
        </is>
      </c>
      <c r="K47" s="2" t="n"/>
    </row>
    <row r="48">
      <c r="A48" t="inlineStr">
        <is>
          <t>{side}_hip_pitch_back</t>
        </is>
      </c>
      <c r="B48" s="9" t="n">
        <v>2</v>
      </c>
      <c r="C48" t="inlineStr">
        <is>
          <t>cnc</t>
        </is>
      </c>
      <c r="D48" t="inlineStr">
        <is>
          <t>al6061</t>
        </is>
      </c>
      <c r="E48" t="inlineStr">
        <is>
          <t>flat 4.0 mm</t>
        </is>
      </c>
      <c r="F48" t="n">
        <v>4</v>
      </c>
      <c r="G48" s="12" t="n">
        <v>57.9</v>
      </c>
      <c r="H48" t="inlineStr">
        <is>
          <t>74 x 73 x 4</t>
        </is>
      </c>
      <c r="I48" s="2" t="n"/>
      <c r="J48" t="inlineStr">
        <is>
          <t>to make</t>
        </is>
      </c>
      <c r="K48" s="2" t="n"/>
    </row>
    <row r="49">
      <c r="A49" t="inlineStr">
        <is>
          <t>{side}_hip_pitch_flange</t>
        </is>
      </c>
      <c r="B49" s="9" t="n">
        <v>2</v>
      </c>
      <c r="C49" t="inlineStr">
        <is>
          <t>cnc</t>
        </is>
      </c>
      <c r="D49" t="inlineStr">
        <is>
          <t>al6061</t>
        </is>
      </c>
      <c r="E49" t="inlineStr">
        <is>
          <t>3D</t>
        </is>
      </c>
      <c r="F49" t="n">
        <v>6</v>
      </c>
      <c r="G49" s="12" t="n">
        <v>56.7</v>
      </c>
      <c r="H49" t="inlineStr">
        <is>
          <t>80 x 80 x 6</t>
        </is>
      </c>
      <c r="I49" s="2" t="n"/>
      <c r="J49" t="inlineStr">
        <is>
          <t>to make</t>
        </is>
      </c>
      <c r="K49" s="2" t="n"/>
    </row>
    <row r="50">
      <c r="A50" t="inlineStr">
        <is>
          <t>{side}_hip_pitch_front</t>
        </is>
      </c>
      <c r="B50" s="9" t="n">
        <v>2</v>
      </c>
      <c r="C50" t="inlineStr">
        <is>
          <t>cnc</t>
        </is>
      </c>
      <c r="D50" t="inlineStr">
        <is>
          <t>al6061</t>
        </is>
      </c>
      <c r="E50" t="inlineStr">
        <is>
          <t>flat 4.0 mm</t>
        </is>
      </c>
      <c r="F50" t="n">
        <v>4</v>
      </c>
      <c r="G50" s="12" t="n">
        <v>57.9</v>
      </c>
      <c r="H50" t="inlineStr">
        <is>
          <t>74 x 73 x 4</t>
        </is>
      </c>
      <c r="I50" s="2" t="n"/>
      <c r="J50" t="inlineStr">
        <is>
          <t>to make</t>
        </is>
      </c>
      <c r="K50" s="2" t="n"/>
    </row>
    <row r="51">
      <c r="A51" t="inlineStr">
        <is>
          <t>{side}_hip_pitch_inner</t>
        </is>
      </c>
      <c r="B51" s="9" t="n">
        <v>2</v>
      </c>
      <c r="C51" t="inlineStr">
        <is>
          <t>cnc</t>
        </is>
      </c>
      <c r="D51" t="inlineStr">
        <is>
          <t>al6061</t>
        </is>
      </c>
      <c r="E51" t="inlineStr">
        <is>
          <t>flat 6.0 mm</t>
        </is>
      </c>
      <c r="F51" t="n">
        <v>6</v>
      </c>
      <c r="G51" s="12" t="n">
        <v>90.5</v>
      </c>
      <c r="H51" t="inlineStr">
        <is>
          <t>168 x 58 x 6</t>
        </is>
      </c>
      <c r="I51" s="2" t="n"/>
      <c r="J51" t="inlineStr">
        <is>
          <t>to make</t>
        </is>
      </c>
      <c r="K51" s="2" t="n"/>
    </row>
    <row r="52">
      <c r="A52" t="inlineStr">
        <is>
          <t>{side}_hip_pitch_mount</t>
        </is>
      </c>
      <c r="B52" s="9" t="n">
        <v>2</v>
      </c>
      <c r="C52" t="inlineStr">
        <is>
          <t>cnc</t>
        </is>
      </c>
      <c r="D52" t="inlineStr">
        <is>
          <t>al6061</t>
        </is>
      </c>
      <c r="E52" t="inlineStr">
        <is>
          <t>3D</t>
        </is>
      </c>
      <c r="F52" t="n">
        <v>15</v>
      </c>
      <c r="G52" s="12" t="n">
        <v>45.9</v>
      </c>
      <c r="H52" t="inlineStr">
        <is>
          <t>120 x 120 x 13</t>
        </is>
      </c>
      <c r="I52" s="2" t="n"/>
      <c r="J52" t="inlineStr">
        <is>
          <t>to make</t>
        </is>
      </c>
      <c r="K52" s="2" t="n"/>
    </row>
    <row r="53">
      <c r="A53" t="inlineStr">
        <is>
          <t>{side}_hip_pitch_outer</t>
        </is>
      </c>
      <c r="B53" s="9" t="n">
        <v>2</v>
      </c>
      <c r="C53" t="inlineStr">
        <is>
          <t>cnc</t>
        </is>
      </c>
      <c r="D53" t="inlineStr">
        <is>
          <t>al6061</t>
        </is>
      </c>
      <c r="E53" t="inlineStr">
        <is>
          <t>flat 5.0 mm</t>
        </is>
      </c>
      <c r="F53" t="n">
        <v>5</v>
      </c>
      <c r="G53" s="12" t="n">
        <v>115.1</v>
      </c>
      <c r="H53" t="inlineStr">
        <is>
          <t>179 x 80 x 5</t>
        </is>
      </c>
      <c r="I53" s="2" t="n"/>
      <c r="J53" t="inlineStr">
        <is>
          <t>to make</t>
        </is>
      </c>
      <c r="K53" s="2" t="n"/>
    </row>
    <row r="54">
      <c r="A54" t="inlineStr">
        <is>
          <t>{side}_hip_pitch_top</t>
        </is>
      </c>
      <c r="B54" s="9" t="n">
        <v>2</v>
      </c>
      <c r="C54" t="inlineStr">
        <is>
          <t>cnc</t>
        </is>
      </c>
      <c r="D54" t="inlineStr">
        <is>
          <t>al6061</t>
        </is>
      </c>
      <c r="E54" t="inlineStr">
        <is>
          <t>flat 6.0 mm</t>
        </is>
      </c>
      <c r="F54" t="n">
        <v>6</v>
      </c>
      <c r="G54" s="12" t="n">
        <v>156.6</v>
      </c>
      <c r="H54" t="inlineStr">
        <is>
          <t>121 x 104 x 6</t>
        </is>
      </c>
      <c r="I54" s="2" t="n"/>
      <c r="J54" t="inlineStr">
        <is>
          <t>to make</t>
        </is>
      </c>
      <c r="K54" s="2" t="n"/>
    </row>
    <row r="55">
      <c r="A55" t="inlineStr">
        <is>
          <t>{side}_hip_roll_bar</t>
        </is>
      </c>
      <c r="B55" s="9" t="n">
        <v>2</v>
      </c>
      <c r="C55" t="inlineStr">
        <is>
          <t>cnc</t>
        </is>
      </c>
      <c r="D55" t="inlineStr">
        <is>
          <t>al6061</t>
        </is>
      </c>
      <c r="E55" t="inlineStr">
        <is>
          <t>3D</t>
        </is>
      </c>
      <c r="F55" t="n">
        <v>10</v>
      </c>
      <c r="G55" s="12" t="n">
        <v>73.90000000000001</v>
      </c>
      <c r="H55" t="inlineStr">
        <is>
          <t>88 x 60 x 10</t>
        </is>
      </c>
      <c r="I55" s="2" t="n"/>
      <c r="J55" t="inlineStr">
        <is>
          <t>to make</t>
        </is>
      </c>
      <c r="K55" s="2" t="n"/>
    </row>
    <row r="56">
      <c r="A56" t="inlineStr">
        <is>
          <t>{side}_hip_roll_front</t>
        </is>
      </c>
      <c r="B56" s="9" t="n">
        <v>2</v>
      </c>
      <c r="C56" t="inlineStr">
        <is>
          <t>cnc</t>
        </is>
      </c>
      <c r="D56" t="inlineStr">
        <is>
          <t>al6061</t>
        </is>
      </c>
      <c r="E56" t="inlineStr">
        <is>
          <t>3D</t>
        </is>
      </c>
      <c r="F56" t="n">
        <v>6</v>
      </c>
      <c r="G56" s="12" t="n">
        <v>99.5</v>
      </c>
      <c r="H56" t="inlineStr">
        <is>
          <t>116 x 101 x 6</t>
        </is>
      </c>
      <c r="I56" s="2" t="n"/>
      <c r="J56" t="inlineStr">
        <is>
          <t>to make</t>
        </is>
      </c>
      <c r="K56" s="2" t="n"/>
    </row>
    <row r="57">
      <c r="A57" t="inlineStr">
        <is>
          <t>{side}_hip_roll_rear</t>
        </is>
      </c>
      <c r="B57" s="9" t="n">
        <v>2</v>
      </c>
      <c r="C57" t="inlineStr">
        <is>
          <t>cnc</t>
        </is>
      </c>
      <c r="D57" t="inlineStr">
        <is>
          <t>al6061</t>
        </is>
      </c>
      <c r="E57" t="inlineStr">
        <is>
          <t>flat 6.0 mm</t>
        </is>
      </c>
      <c r="F57" t="n">
        <v>6</v>
      </c>
      <c r="G57" s="12" t="n">
        <v>43.8</v>
      </c>
      <c r="H57" t="inlineStr">
        <is>
          <t>105 x 58 x 6</t>
        </is>
      </c>
      <c r="I57" s="2" t="n"/>
      <c r="J57" t="inlineStr">
        <is>
          <t>to make</t>
        </is>
      </c>
      <c r="K57" s="2" t="n"/>
    </row>
    <row r="58">
      <c r="A58" t="inlineStr">
        <is>
          <t>{side}_hip_roll_stator</t>
        </is>
      </c>
      <c r="B58" s="9" t="n">
        <v>2</v>
      </c>
      <c r="C58" t="inlineStr">
        <is>
          <t>cnc</t>
        </is>
      </c>
      <c r="D58" t="inlineStr">
        <is>
          <t>al6061</t>
        </is>
      </c>
      <c r="E58" t="inlineStr">
        <is>
          <t>3D</t>
        </is>
      </c>
      <c r="F58" t="n">
        <v>20</v>
      </c>
      <c r="G58" s="12" t="n">
        <v>153.5</v>
      </c>
      <c r="H58" t="inlineStr">
        <is>
          <t>128 x 103 x 20</t>
        </is>
      </c>
      <c r="I58" s="2" t="n"/>
      <c r="J58" t="inlineStr">
        <is>
          <t>to make</t>
        </is>
      </c>
      <c r="K58" s="2" t="n"/>
    </row>
    <row r="59">
      <c r="A59" t="inlineStr">
        <is>
          <t>{side}_hip_yaw_mount</t>
        </is>
      </c>
      <c r="B59" s="9" t="n">
        <v>2</v>
      </c>
      <c r="C59" t="inlineStr">
        <is>
          <t>cnc</t>
        </is>
      </c>
      <c r="D59" t="inlineStr">
        <is>
          <t>al6061</t>
        </is>
      </c>
      <c r="E59" t="inlineStr">
        <is>
          <t>3D</t>
        </is>
      </c>
      <c r="F59" t="n">
        <v>15</v>
      </c>
      <c r="G59" s="12" t="n">
        <v>54.1</v>
      </c>
      <c r="H59" t="inlineStr">
        <is>
          <t>112 x 112 x 12</t>
        </is>
      </c>
      <c r="I59" s="2" t="n"/>
      <c r="J59" t="inlineStr">
        <is>
          <t>to make</t>
        </is>
      </c>
      <c r="K59" s="2" t="n"/>
    </row>
    <row r="60">
      <c r="A60" t="inlineStr">
        <is>
          <t>{side}_shin_bridge</t>
        </is>
      </c>
      <c r="B60" s="9" t="n">
        <v>2</v>
      </c>
      <c r="C60" t="inlineStr">
        <is>
          <t>cnc</t>
        </is>
      </c>
      <c r="D60" t="inlineStr">
        <is>
          <t>al6061</t>
        </is>
      </c>
      <c r="E60" t="inlineStr">
        <is>
          <t>3D</t>
        </is>
      </c>
      <c r="F60" t="n">
        <v>20</v>
      </c>
      <c r="G60" s="12" t="n">
        <v>44.7</v>
      </c>
      <c r="H60" t="inlineStr">
        <is>
          <t>81 x 20 x 20</t>
        </is>
      </c>
      <c r="I60" s="2" t="n"/>
      <c r="J60" t="inlineStr">
        <is>
          <t>to make</t>
        </is>
      </c>
      <c r="K60" s="2" t="n"/>
    </row>
    <row r="61">
      <c r="A61" t="inlineStr">
        <is>
          <t>{side}_shin_knee_outer</t>
        </is>
      </c>
      <c r="B61" s="9" t="n">
        <v>2</v>
      </c>
      <c r="C61" t="inlineStr">
        <is>
          <t>cnc</t>
        </is>
      </c>
      <c r="D61" t="inlineStr">
        <is>
          <t>al6061</t>
        </is>
      </c>
      <c r="E61" t="inlineStr">
        <is>
          <t>flat 6.0 mm</t>
        </is>
      </c>
      <c r="F61" t="n">
        <v>6</v>
      </c>
      <c r="G61" s="12" t="n">
        <v>46.1</v>
      </c>
      <c r="H61" t="inlineStr">
        <is>
          <t>107 x 87 x 6</t>
        </is>
      </c>
      <c r="I61" s="2" t="n"/>
      <c r="J61" t="inlineStr">
        <is>
          <t>to make</t>
        </is>
      </c>
      <c r="K61" s="2" t="n"/>
    </row>
    <row r="62">
      <c r="A62" t="inlineStr">
        <is>
          <t>{side}_shin_spacer_0</t>
        </is>
      </c>
      <c r="B62" s="9" t="n">
        <v>2</v>
      </c>
      <c r="C62" t="inlineStr">
        <is>
          <t>cnc</t>
        </is>
      </c>
      <c r="D62" t="inlineStr">
        <is>
          <t>al6061</t>
        </is>
      </c>
      <c r="E62" t="inlineStr">
        <is>
          <t>3D</t>
        </is>
      </c>
      <c r="F62" t="n">
        <v>20</v>
      </c>
      <c r="G62" s="12" t="n">
        <v>22.2</v>
      </c>
      <c r="H62" t="inlineStr">
        <is>
          <t>55 x 16 x 16</t>
        </is>
      </c>
      <c r="I62" s="2" t="n"/>
      <c r="J62" t="inlineStr">
        <is>
          <t>to make</t>
        </is>
      </c>
      <c r="K62" s="2" t="n"/>
    </row>
    <row r="63">
      <c r="A63" t="inlineStr">
        <is>
          <t>{side}_shin_spacer_1</t>
        </is>
      </c>
      <c r="B63" s="9" t="n">
        <v>2</v>
      </c>
      <c r="C63" t="inlineStr">
        <is>
          <t>cnc</t>
        </is>
      </c>
      <c r="D63" t="inlineStr">
        <is>
          <t>al6061</t>
        </is>
      </c>
      <c r="E63" t="inlineStr">
        <is>
          <t>3D</t>
        </is>
      </c>
      <c r="F63" t="n">
        <v>20</v>
      </c>
      <c r="G63" s="12" t="n">
        <v>22.2</v>
      </c>
      <c r="H63" t="inlineStr">
        <is>
          <t>55 x 16 x 16</t>
        </is>
      </c>
      <c r="I63" s="2" t="n"/>
      <c r="J63" t="inlineStr">
        <is>
          <t>to make</t>
        </is>
      </c>
      <c r="K63" s="2" t="n"/>
    </row>
    <row r="64">
      <c r="A64" t="inlineStr">
        <is>
          <t>{side}_shin_spacer_2</t>
        </is>
      </c>
      <c r="B64" s="9" t="n">
        <v>2</v>
      </c>
      <c r="C64" t="inlineStr">
        <is>
          <t>cnc</t>
        </is>
      </c>
      <c r="D64" t="inlineStr">
        <is>
          <t>al6061</t>
        </is>
      </c>
      <c r="E64" t="inlineStr">
        <is>
          <t>3D</t>
        </is>
      </c>
      <c r="F64" t="n">
        <v>20</v>
      </c>
      <c r="G64" s="12" t="n">
        <v>22.2</v>
      </c>
      <c r="H64" t="inlineStr">
        <is>
          <t>55 x 16 x 16</t>
        </is>
      </c>
      <c r="I64" s="2" t="n"/>
      <c r="J64" t="inlineStr">
        <is>
          <t>to make</t>
        </is>
      </c>
      <c r="K64" s="2" t="n"/>
    </row>
    <row r="65">
      <c r="A65" t="inlineStr">
        <is>
          <t>{side}_shoulder_back</t>
        </is>
      </c>
      <c r="B65" s="9" t="n">
        <v>2</v>
      </c>
      <c r="C65" t="inlineStr">
        <is>
          <t>cnc</t>
        </is>
      </c>
      <c r="D65" t="inlineStr">
        <is>
          <t>al6061</t>
        </is>
      </c>
      <c r="E65" t="inlineStr">
        <is>
          <t>flat 7.0 mm</t>
        </is>
      </c>
      <c r="F65" t="n">
        <v>8</v>
      </c>
      <c r="G65" s="12" t="n">
        <v>153.8</v>
      </c>
      <c r="H65" t="inlineStr">
        <is>
          <t>108 x 108 x 7</t>
        </is>
      </c>
      <c r="I65" s="2" t="n"/>
      <c r="J65" t="inlineStr">
        <is>
          <t>to make</t>
        </is>
      </c>
      <c r="K65" s="2" t="n"/>
    </row>
    <row r="66">
      <c r="A66" t="inlineStr">
        <is>
          <t>{side}_shoulder_flange</t>
        </is>
      </c>
      <c r="B66" s="9" t="n">
        <v>2</v>
      </c>
      <c r="C66" t="inlineStr">
        <is>
          <t>cnc</t>
        </is>
      </c>
      <c r="D66" t="inlineStr">
        <is>
          <t>al6061</t>
        </is>
      </c>
      <c r="E66" t="inlineStr">
        <is>
          <t>flat 6.0 mm</t>
        </is>
      </c>
      <c r="F66" t="n">
        <v>6</v>
      </c>
      <c r="G66" s="12" t="n">
        <v>34.8</v>
      </c>
      <c r="H66" t="inlineStr">
        <is>
          <t>76 x 62 x 6</t>
        </is>
      </c>
      <c r="I66" s="2" t="n"/>
      <c r="J66" t="inlineStr">
        <is>
          <t>to make</t>
        </is>
      </c>
      <c r="K66" s="2" t="n"/>
    </row>
    <row r="67">
      <c r="A67" t="inlineStr">
        <is>
          <t>{side}_shoulder_roll_front</t>
        </is>
      </c>
      <c r="B67" s="9" t="n">
        <v>2</v>
      </c>
      <c r="C67" t="inlineStr">
        <is>
          <t>cnc</t>
        </is>
      </c>
      <c r="D67" t="inlineStr">
        <is>
          <t>al6061</t>
        </is>
      </c>
      <c r="E67" t="inlineStr">
        <is>
          <t>flat 7.0 mm</t>
        </is>
      </c>
      <c r="F67" t="n">
        <v>8</v>
      </c>
      <c r="G67" s="12" t="n">
        <v>96.59999999999999</v>
      </c>
      <c r="H67" t="inlineStr">
        <is>
          <t>96 x 72 x 7</t>
        </is>
      </c>
      <c r="I67" s="2" t="n"/>
      <c r="J67" t="inlineStr">
        <is>
          <t>to make</t>
        </is>
      </c>
      <c r="K67" s="2" t="n"/>
    </row>
    <row r="68">
      <c r="A68" t="inlineStr">
        <is>
          <t>{side}_shoulder_roll_mount</t>
        </is>
      </c>
      <c r="B68" s="9" t="n">
        <v>2</v>
      </c>
      <c r="C68" t="inlineStr">
        <is>
          <t>cnc</t>
        </is>
      </c>
      <c r="D68" t="inlineStr">
        <is>
          <t>al6061</t>
        </is>
      </c>
      <c r="E68" t="inlineStr">
        <is>
          <t>3D</t>
        </is>
      </c>
      <c r="F68" t="n">
        <v>15</v>
      </c>
      <c r="G68" s="12" t="n">
        <v>41.4</v>
      </c>
      <c r="H68" t="inlineStr">
        <is>
          <t>108 x 98 x 12</t>
        </is>
      </c>
      <c r="I68" s="2" t="n"/>
      <c r="J68" t="inlineStr">
        <is>
          <t>to make</t>
        </is>
      </c>
      <c r="K68" s="2" t="n"/>
    </row>
    <row r="69">
      <c r="A69" t="inlineStr">
        <is>
          <t>{side}_shoulder_roll_top</t>
        </is>
      </c>
      <c r="B69" s="9" t="n">
        <v>2</v>
      </c>
      <c r="C69" t="inlineStr">
        <is>
          <t>cnc</t>
        </is>
      </c>
      <c r="D69" t="inlineStr">
        <is>
          <t>al6061</t>
        </is>
      </c>
      <c r="E69" t="inlineStr">
        <is>
          <t>flat 6.0 mm</t>
        </is>
      </c>
      <c r="F69" t="n">
        <v>6</v>
      </c>
      <c r="G69" s="12" t="n">
        <v>77</v>
      </c>
      <c r="H69" t="inlineStr">
        <is>
          <t>79 x 79 x 6</t>
        </is>
      </c>
      <c r="I69" s="2" t="n"/>
      <c r="J69" t="inlineStr">
        <is>
          <t>to make</t>
        </is>
      </c>
      <c r="K69" s="2" t="n"/>
    </row>
    <row r="70">
      <c r="A70" t="inlineStr">
        <is>
          <t>{side}_shoulder_yaw_mount</t>
        </is>
      </c>
      <c r="B70" s="9" t="n">
        <v>2</v>
      </c>
      <c r="C70" t="inlineStr">
        <is>
          <t>cnc</t>
        </is>
      </c>
      <c r="D70" t="inlineStr">
        <is>
          <t>al6061</t>
        </is>
      </c>
      <c r="E70" t="inlineStr">
        <is>
          <t>3D</t>
        </is>
      </c>
      <c r="F70" t="n">
        <v>15</v>
      </c>
      <c r="G70" s="12" t="n">
        <v>37.4</v>
      </c>
      <c r="H70" t="inlineStr">
        <is>
          <t>96 x 96 x 14</t>
        </is>
      </c>
      <c r="I70" s="2" t="n"/>
      <c r="J70" t="inlineStr">
        <is>
          <t>to make</t>
        </is>
      </c>
      <c r="K70" s="2" t="n"/>
    </row>
    <row r="71">
      <c r="A71" t="inlineStr">
        <is>
          <t>{side}_thigh_flange</t>
        </is>
      </c>
      <c r="B71" s="9" t="n">
        <v>2</v>
      </c>
      <c r="C71" t="inlineStr">
        <is>
          <t>cnc</t>
        </is>
      </c>
      <c r="D71" t="inlineStr">
        <is>
          <t>al6061</t>
        </is>
      </c>
      <c r="E71" t="inlineStr">
        <is>
          <t>3D</t>
        </is>
      </c>
      <c r="F71" t="n">
        <v>6</v>
      </c>
      <c r="G71" s="12" t="n">
        <v>70.90000000000001</v>
      </c>
      <c r="H71" t="inlineStr">
        <is>
          <t>84 x 84 x 6</t>
        </is>
      </c>
      <c r="I71" s="2" t="n"/>
      <c r="J71" t="inlineStr">
        <is>
          <t>to make</t>
        </is>
      </c>
      <c r="K71" s="2" t="n"/>
    </row>
    <row r="72">
      <c r="A72" t="inlineStr">
        <is>
          <t>{side}_thigh_knee_mount</t>
        </is>
      </c>
      <c r="B72" s="9" t="n">
        <v>2</v>
      </c>
      <c r="C72" t="inlineStr">
        <is>
          <t>cnc</t>
        </is>
      </c>
      <c r="D72" t="inlineStr">
        <is>
          <t>al6061</t>
        </is>
      </c>
      <c r="E72" t="inlineStr">
        <is>
          <t>3D</t>
        </is>
      </c>
      <c r="F72" t="n">
        <v>15</v>
      </c>
      <c r="G72" s="12" t="n">
        <v>45.9</v>
      </c>
      <c r="H72" t="inlineStr">
        <is>
          <t>120 x 120 x 13</t>
        </is>
      </c>
      <c r="I72" s="2" t="n"/>
      <c r="J72" t="inlineStr">
        <is>
          <t>to make</t>
        </is>
      </c>
      <c r="K72" s="2" t="n"/>
    </row>
    <row r="73">
      <c r="A73" t="inlineStr">
        <is>
          <t>{side}_thigh_plate</t>
        </is>
      </c>
      <c r="B73" s="9" t="n">
        <v>2</v>
      </c>
      <c r="C73" t="inlineStr">
        <is>
          <t>cnc</t>
        </is>
      </c>
      <c r="D73" t="inlineStr">
        <is>
          <t>al6061</t>
        </is>
      </c>
      <c r="E73" t="inlineStr">
        <is>
          <t>3D</t>
        </is>
      </c>
      <c r="F73" t="n">
        <v>25</v>
      </c>
      <c r="G73" s="12" t="n">
        <v>208.9</v>
      </c>
      <c r="H73" t="inlineStr">
        <is>
          <t>192 x 116 x 21</t>
        </is>
      </c>
      <c r="I73" s="2" t="n"/>
      <c r="J73" t="inlineStr">
        <is>
          <t>to make</t>
        </is>
      </c>
      <c r="K73" s="2" t="n"/>
    </row>
    <row r="74">
      <c r="A74" t="inlineStr">
        <is>
          <t>{side}_upper_arm_elbow_ring</t>
        </is>
      </c>
      <c r="B74" s="9" t="n">
        <v>2</v>
      </c>
      <c r="C74" t="inlineStr">
        <is>
          <t>cnc</t>
        </is>
      </c>
      <c r="D74" t="inlineStr">
        <is>
          <t>al6061</t>
        </is>
      </c>
      <c r="E74" t="inlineStr">
        <is>
          <t>flat 6.0 mm</t>
        </is>
      </c>
      <c r="F74" t="n">
        <v>6</v>
      </c>
      <c r="G74" s="12" t="n">
        <v>50</v>
      </c>
      <c r="H74" t="inlineStr">
        <is>
          <t>96 x 96 x 6</t>
        </is>
      </c>
      <c r="I74" s="2" t="n"/>
      <c r="J74" t="inlineStr">
        <is>
          <t>to make</t>
        </is>
      </c>
      <c r="K74" s="2" t="n"/>
    </row>
    <row r="75">
      <c r="A75" t="inlineStr">
        <is>
          <t>{side}_upper_arm_ring</t>
        </is>
      </c>
      <c r="B75" s="9" t="n">
        <v>2</v>
      </c>
      <c r="C75" t="inlineStr">
        <is>
          <t>cnc</t>
        </is>
      </c>
      <c r="D75" t="inlineStr">
        <is>
          <t>al6061</t>
        </is>
      </c>
      <c r="E75" t="inlineStr">
        <is>
          <t>3D</t>
        </is>
      </c>
      <c r="F75" t="n">
        <v>6</v>
      </c>
      <c r="G75" s="12" t="n">
        <v>44.6</v>
      </c>
      <c r="H75" t="inlineStr">
        <is>
          <t>70 x 70 x 6</t>
        </is>
      </c>
      <c r="I75" s="2" t="n"/>
      <c r="J75" t="inlineStr">
        <is>
          <t>to make</t>
        </is>
      </c>
      <c r="K75" s="2" t="n"/>
    </row>
    <row r="76">
      <c r="A76" t="inlineStr">
        <is>
          <t>{side}_ankle_crank_a</t>
        </is>
      </c>
      <c r="B76" s="9" t="n">
        <v>2</v>
      </c>
      <c r="C76" t="inlineStr">
        <is>
          <t>cnc</t>
        </is>
      </c>
      <c r="D76" t="inlineStr">
        <is>
          <t>al7075</t>
        </is>
      </c>
      <c r="E76" t="inlineStr">
        <is>
          <t>3D</t>
        </is>
      </c>
      <c r="F76" t="n">
        <v>20</v>
      </c>
      <c r="G76" s="12" t="n">
        <v>72.5</v>
      </c>
      <c r="H76" t="inlineStr">
        <is>
          <t>89 x 40 x 16</t>
        </is>
      </c>
      <c r="I76" s="2" t="n"/>
      <c r="J76" t="inlineStr">
        <is>
          <t>to make</t>
        </is>
      </c>
      <c r="K76" s="2" t="n"/>
    </row>
    <row r="77">
      <c r="A77" t="inlineStr">
        <is>
          <t>{side}_ankle_crank_b</t>
        </is>
      </c>
      <c r="B77" s="9" t="n">
        <v>2</v>
      </c>
      <c r="C77" t="inlineStr">
        <is>
          <t>cnc</t>
        </is>
      </c>
      <c r="D77" t="inlineStr">
        <is>
          <t>al7075</t>
        </is>
      </c>
      <c r="E77" t="inlineStr">
        <is>
          <t>3D</t>
        </is>
      </c>
      <c r="F77" t="n">
        <v>20</v>
      </c>
      <c r="G77" s="12" t="n">
        <v>72.5</v>
      </c>
      <c r="H77" t="inlineStr">
        <is>
          <t>89 x 40 x 16</t>
        </is>
      </c>
      <c r="I77" s="2" t="n"/>
      <c r="J77" t="inlineStr">
        <is>
          <t>to make</t>
        </is>
      </c>
      <c r="K77" s="2" t="n"/>
    </row>
    <row r="78">
      <c r="A78" t="inlineStr">
        <is>
          <t>{side}_ankle_cross</t>
        </is>
      </c>
      <c r="B78" s="9" t="n">
        <v>2</v>
      </c>
      <c r="C78" t="inlineStr">
        <is>
          <t>cnc</t>
        </is>
      </c>
      <c r="D78" t="inlineStr">
        <is>
          <t>al7075</t>
        </is>
      </c>
      <c r="E78" t="inlineStr">
        <is>
          <t>flat 30.0 mm</t>
        </is>
      </c>
      <c r="F78" t="n">
        <v>30</v>
      </c>
      <c r="G78" s="12" t="n">
        <v>85.59999999999999</v>
      </c>
      <c r="H78" t="inlineStr">
        <is>
          <t>53 x 44 x 30</t>
        </is>
      </c>
      <c r="I78" s="2" t="n"/>
      <c r="J78" t="inlineStr">
        <is>
          <t>to make</t>
        </is>
      </c>
      <c r="K78" s="2" t="n"/>
    </row>
    <row r="79">
      <c r="A79" t="inlineStr">
        <is>
          <t>neck_cover</t>
        </is>
      </c>
      <c r="B79" s="9" t="n">
        <v>1</v>
      </c>
      <c r="C79" t="inlineStr">
        <is>
          <t>cover</t>
        </is>
      </c>
      <c r="D79" t="inlineStr">
        <is>
          <t>pa_cf</t>
        </is>
      </c>
      <c r="E79" t="inlineStr">
        <is>
          <t>3D</t>
        </is>
      </c>
      <c r="G79" s="12" t="n">
        <v>40.6</v>
      </c>
      <c r="H79" t="inlineStr">
        <is>
          <t>92 x 92 x 73</t>
        </is>
      </c>
      <c r="I79" s="2" t="n"/>
      <c r="J79" t="inlineStr">
        <is>
          <t>to make</t>
        </is>
      </c>
      <c r="K79" s="2" t="n"/>
    </row>
    <row r="80">
      <c r="A80" t="inlineStr">
        <is>
          <t>pelvis_cover</t>
        </is>
      </c>
      <c r="B80" s="9" t="n">
        <v>1</v>
      </c>
      <c r="C80" t="inlineStr">
        <is>
          <t>cover</t>
        </is>
      </c>
      <c r="D80" t="inlineStr">
        <is>
          <t>pa_cf</t>
        </is>
      </c>
      <c r="E80" t="inlineStr">
        <is>
          <t>3D</t>
        </is>
      </c>
      <c r="G80" s="12" t="n">
        <v>42</v>
      </c>
      <c r="H80" t="inlineStr">
        <is>
          <t>237 x 202 x 56</t>
        </is>
      </c>
      <c r="I80" s="2" t="n"/>
      <c r="J80" t="inlineStr">
        <is>
          <t>to make</t>
        </is>
      </c>
      <c r="K80" s="2" t="n"/>
    </row>
    <row r="81">
      <c r="A81" t="inlineStr">
        <is>
          <t>torso_cover_back_l_waist</t>
        </is>
      </c>
      <c r="B81" s="9" t="n">
        <v>1</v>
      </c>
      <c r="C81" t="inlineStr">
        <is>
          <t>cover</t>
        </is>
      </c>
      <c r="D81" t="inlineStr">
        <is>
          <t>pa_cf</t>
        </is>
      </c>
      <c r="E81" t="inlineStr">
        <is>
          <t>3D</t>
        </is>
      </c>
      <c r="G81" s="12" t="n">
        <v>50.8</v>
      </c>
      <c r="H81" t="inlineStr">
        <is>
          <t>174 x 100 x 87</t>
        </is>
      </c>
      <c r="I81" s="2" t="n"/>
      <c r="J81" t="inlineStr">
        <is>
          <t>to make</t>
        </is>
      </c>
      <c r="K81" s="2" t="n"/>
    </row>
    <row r="82">
      <c r="A82" t="inlineStr">
        <is>
          <t>torso_cover_back_r_waist</t>
        </is>
      </c>
      <c r="B82" s="9" t="n">
        <v>1</v>
      </c>
      <c r="C82" t="inlineStr">
        <is>
          <t>cover</t>
        </is>
      </c>
      <c r="D82" t="inlineStr">
        <is>
          <t>pa_cf</t>
        </is>
      </c>
      <c r="E82" t="inlineStr">
        <is>
          <t>3D</t>
        </is>
      </c>
      <c r="G82" s="12" t="n">
        <v>50.8</v>
      </c>
      <c r="H82" t="inlineStr">
        <is>
          <t>174 x 100 x 87</t>
        </is>
      </c>
      <c r="I82" s="2" t="n"/>
      <c r="J82" t="inlineStr">
        <is>
          <t>to make</t>
        </is>
      </c>
      <c r="K82" s="2" t="n"/>
    </row>
    <row r="83">
      <c r="A83" t="inlineStr">
        <is>
          <t>torso_cover_back_{side}</t>
        </is>
      </c>
      <c r="B83" s="9" t="n">
        <v>2</v>
      </c>
      <c r="C83" t="inlineStr">
        <is>
          <t>cover</t>
        </is>
      </c>
      <c r="D83" t="inlineStr">
        <is>
          <t>pa_cf</t>
        </is>
      </c>
      <c r="E83" t="inlineStr">
        <is>
          <t>3D</t>
        </is>
      </c>
      <c r="G83" s="12" t="n">
        <v>61.1</v>
      </c>
      <c r="H83" t="inlineStr">
        <is>
          <t>214 x 102 x 84</t>
        </is>
      </c>
      <c r="I83" s="2" t="n"/>
      <c r="J83" t="inlineStr">
        <is>
          <t>to make</t>
        </is>
      </c>
      <c r="K83" s="2" t="n"/>
    </row>
    <row r="84">
      <c r="A84" t="inlineStr">
        <is>
          <t>torso_cover_front_l_waist</t>
        </is>
      </c>
      <c r="B84" s="9" t="n">
        <v>1</v>
      </c>
      <c r="C84" t="inlineStr">
        <is>
          <t>cover</t>
        </is>
      </c>
      <c r="D84" t="inlineStr">
        <is>
          <t>pa_cf</t>
        </is>
      </c>
      <c r="E84" t="inlineStr">
        <is>
          <t>3D</t>
        </is>
      </c>
      <c r="G84" s="12" t="n">
        <v>53.2</v>
      </c>
      <c r="H84" t="inlineStr">
        <is>
          <t>174 x 100 x 94</t>
        </is>
      </c>
      <c r="I84" s="2" t="n"/>
      <c r="J84" t="inlineStr">
        <is>
          <t>to make</t>
        </is>
      </c>
      <c r="K84" s="2" t="n"/>
    </row>
    <row r="85">
      <c r="A85" t="inlineStr">
        <is>
          <t>torso_cover_front_r_waist</t>
        </is>
      </c>
      <c r="B85" s="9" t="n">
        <v>1</v>
      </c>
      <c r="C85" t="inlineStr">
        <is>
          <t>cover</t>
        </is>
      </c>
      <c r="D85" t="inlineStr">
        <is>
          <t>pa_cf</t>
        </is>
      </c>
      <c r="E85" t="inlineStr">
        <is>
          <t>3D</t>
        </is>
      </c>
      <c r="G85" s="12" t="n">
        <v>53.2</v>
      </c>
      <c r="H85" t="inlineStr">
        <is>
          <t>174 x 100 x 94</t>
        </is>
      </c>
      <c r="I85" s="2" t="n"/>
      <c r="J85" t="inlineStr">
        <is>
          <t>to make</t>
        </is>
      </c>
      <c r="K85" s="2" t="n"/>
    </row>
    <row r="86">
      <c r="A86" t="inlineStr">
        <is>
          <t>torso_cover_front_{side}</t>
        </is>
      </c>
      <c r="B86" s="9" t="n">
        <v>2</v>
      </c>
      <c r="C86" t="inlineStr">
        <is>
          <t>cover</t>
        </is>
      </c>
      <c r="D86" t="inlineStr">
        <is>
          <t>pa_cf</t>
        </is>
      </c>
      <c r="E86" t="inlineStr">
        <is>
          <t>3D</t>
        </is>
      </c>
      <c r="G86" s="12" t="n">
        <v>69.7</v>
      </c>
      <c r="H86" t="inlineStr">
        <is>
          <t>214 x 102 x 94</t>
        </is>
      </c>
      <c r="I86" s="2" t="n"/>
      <c r="J86" t="inlineStr">
        <is>
          <t>to make</t>
        </is>
      </c>
      <c r="K86" s="2" t="n"/>
    </row>
    <row r="87">
      <c r="A87" t="inlineStr">
        <is>
          <t>{side}_forearm_cover</t>
        </is>
      </c>
      <c r="B87" s="9" t="n">
        <v>2</v>
      </c>
      <c r="C87" t="inlineStr">
        <is>
          <t>cover</t>
        </is>
      </c>
      <c r="D87" t="inlineStr">
        <is>
          <t>pa_cf</t>
        </is>
      </c>
      <c r="E87" t="inlineStr">
        <is>
          <t>3D</t>
        </is>
      </c>
      <c r="G87" s="12" t="n">
        <v>24.3</v>
      </c>
      <c r="H87" t="inlineStr">
        <is>
          <t>80 x 79 x 77</t>
        </is>
      </c>
      <c r="I87" s="2" t="n"/>
      <c r="J87" t="inlineStr">
        <is>
          <t>to make</t>
        </is>
      </c>
      <c r="K87" s="2" t="n"/>
    </row>
    <row r="88">
      <c r="A88" t="inlineStr">
        <is>
          <t>{side}_shin_cover</t>
        </is>
      </c>
      <c r="B88" s="9" t="n">
        <v>2</v>
      </c>
      <c r="C88" t="inlineStr">
        <is>
          <t>cover</t>
        </is>
      </c>
      <c r="D88" t="inlineStr">
        <is>
          <t>pa_cf</t>
        </is>
      </c>
      <c r="E88" t="inlineStr">
        <is>
          <t>3D</t>
        </is>
      </c>
      <c r="G88" s="12" t="n">
        <v>58.9</v>
      </c>
      <c r="H88" t="inlineStr">
        <is>
          <t>188 x 104 x 101</t>
        </is>
      </c>
      <c r="I88" s="2" t="n"/>
      <c r="J88" t="inlineStr">
        <is>
          <t>to make</t>
        </is>
      </c>
      <c r="K88" s="2" t="n"/>
    </row>
    <row r="89">
      <c r="A89" t="inlineStr">
        <is>
          <t>{side}_shoulder_cover</t>
        </is>
      </c>
      <c r="B89" s="9" t="n">
        <v>2</v>
      </c>
      <c r="C89" t="inlineStr">
        <is>
          <t>cover</t>
        </is>
      </c>
      <c r="D89" t="inlineStr">
        <is>
          <t>pa_cf</t>
        </is>
      </c>
      <c r="E89" t="inlineStr">
        <is>
          <t>3D</t>
        </is>
      </c>
      <c r="G89" s="12" t="n">
        <v>7.2</v>
      </c>
      <c r="H89" t="inlineStr">
        <is>
          <t>100 x 76 x 64</t>
        </is>
      </c>
      <c r="I89" s="2" t="n"/>
      <c r="J89" t="inlineStr">
        <is>
          <t>to make</t>
        </is>
      </c>
      <c r="K89" s="2" t="n"/>
    </row>
    <row r="90">
      <c r="A90" t="inlineStr">
        <is>
          <t>{side}_thigh_cover</t>
        </is>
      </c>
      <c r="B90" s="9" t="n">
        <v>2</v>
      </c>
      <c r="C90" t="inlineStr">
        <is>
          <t>cover</t>
        </is>
      </c>
      <c r="D90" t="inlineStr">
        <is>
          <t>pa_cf</t>
        </is>
      </c>
      <c r="E90" t="inlineStr">
        <is>
          <t>3D</t>
        </is>
      </c>
      <c r="G90" s="12" t="n">
        <v>38.2</v>
      </c>
      <c r="H90" t="inlineStr">
        <is>
          <t>140 x 132 x 126</t>
        </is>
      </c>
      <c r="I90" s="2" t="n"/>
      <c r="J90" t="inlineStr">
        <is>
          <t>to make</t>
        </is>
      </c>
      <c r="K90" s="2" t="n"/>
    </row>
    <row r="91">
      <c r="A91" t="inlineStr">
        <is>
          <t>{side}_toe_cover</t>
        </is>
      </c>
      <c r="B91" s="9" t="n">
        <v>2</v>
      </c>
      <c r="C91" t="inlineStr">
        <is>
          <t>cover</t>
        </is>
      </c>
      <c r="D91" t="inlineStr">
        <is>
          <t>pa_cf</t>
        </is>
      </c>
      <c r="E91" t="inlineStr">
        <is>
          <t>3D</t>
        </is>
      </c>
      <c r="G91" s="12" t="n">
        <v>17.5</v>
      </c>
      <c r="H91" t="inlineStr">
        <is>
          <t>120 x 100 x 64</t>
        </is>
      </c>
      <c r="I91" s="2" t="n"/>
      <c r="J91" t="inlineStr">
        <is>
          <t>to make</t>
        </is>
      </c>
      <c r="K91" s="2" t="n"/>
    </row>
    <row r="92">
      <c r="A92" t="inlineStr">
        <is>
          <t>{side}_upper_arm_cover</t>
        </is>
      </c>
      <c r="B92" s="9" t="n">
        <v>2</v>
      </c>
      <c r="C92" t="inlineStr">
        <is>
          <t>cover</t>
        </is>
      </c>
      <c r="D92" t="inlineStr">
        <is>
          <t>pa_cf</t>
        </is>
      </c>
      <c r="E92" t="inlineStr">
        <is>
          <t>3D</t>
        </is>
      </c>
      <c r="G92" s="12" t="n">
        <v>19.2</v>
      </c>
      <c r="H92" t="inlineStr">
        <is>
          <t>101 x 88 x 82</t>
        </is>
      </c>
      <c r="I92" s="2" t="n"/>
      <c r="J92" t="inlineStr">
        <is>
          <t>to make</t>
        </is>
      </c>
      <c r="K92" s="2" t="n"/>
    </row>
    <row r="93">
      <c r="A93" t="inlineStr">
        <is>
          <t>{side}_upper_thigh_cover</t>
        </is>
      </c>
      <c r="B93" s="9" t="n">
        <v>2</v>
      </c>
      <c r="C93" t="inlineStr">
        <is>
          <t>cover</t>
        </is>
      </c>
      <c r="D93" t="inlineStr">
        <is>
          <t>pa_cf</t>
        </is>
      </c>
      <c r="E93" t="inlineStr">
        <is>
          <t>3D</t>
        </is>
      </c>
      <c r="G93" s="12" t="n">
        <v>35.9</v>
      </c>
      <c r="H93" t="inlineStr">
        <is>
          <t>128 x 116 x 106</t>
        </is>
      </c>
      <c r="I93" s="2" t="n"/>
      <c r="J93" t="inlineStr">
        <is>
          <t>to make</t>
        </is>
      </c>
      <c r="K93" s="2" t="n"/>
    </row>
    <row r="94">
      <c r="A94" t="inlineStr">
        <is>
          <t>head_camera_frame</t>
        </is>
      </c>
      <c r="B94" s="9" t="n">
        <v>1</v>
      </c>
      <c r="C94" t="inlineStr">
        <is>
          <t>print</t>
        </is>
      </c>
      <c r="D94" t="inlineStr">
        <is>
          <t>pa_cf</t>
        </is>
      </c>
      <c r="E94" t="inlineStr">
        <is>
          <t>3D</t>
        </is>
      </c>
      <c r="G94" s="12" t="n">
        <v>21.5</v>
      </c>
      <c r="H94" t="inlineStr">
        <is>
          <t>131 x 58 x 36</t>
        </is>
      </c>
      <c r="I94" s="2" t="n"/>
      <c r="J94" t="inlineStr">
        <is>
          <t>to make</t>
        </is>
      </c>
      <c r="K94" s="2" t="n"/>
    </row>
    <row r="95">
      <c r="A95" t="inlineStr">
        <is>
          <t>head_frame</t>
        </is>
      </c>
      <c r="B95" s="9" t="n">
        <v>1</v>
      </c>
      <c r="C95" t="inlineStr">
        <is>
          <t>print</t>
        </is>
      </c>
      <c r="D95" t="inlineStr">
        <is>
          <t>pa_cf</t>
        </is>
      </c>
      <c r="E95" t="inlineStr">
        <is>
          <t>3D</t>
        </is>
      </c>
      <c r="G95" s="12" t="n">
        <v>31.1</v>
      </c>
      <c r="H95" t="inlineStr">
        <is>
          <t>110 x 88 x 46</t>
        </is>
      </c>
      <c r="I95" s="2" t="n"/>
      <c r="J95" t="inlineStr">
        <is>
          <t>to make</t>
        </is>
      </c>
      <c r="K95" s="2" t="n"/>
    </row>
    <row r="96">
      <c r="A96" t="inlineStr">
        <is>
          <t>head_shell</t>
        </is>
      </c>
      <c r="B96" s="9" t="n">
        <v>1</v>
      </c>
      <c r="C96" t="inlineStr">
        <is>
          <t>print</t>
        </is>
      </c>
      <c r="D96" t="inlineStr">
        <is>
          <t>pa_cf</t>
        </is>
      </c>
      <c r="E96" t="inlineStr">
        <is>
          <t>3D</t>
        </is>
      </c>
      <c r="G96" s="12" t="n">
        <v>100</v>
      </c>
      <c r="H96" t="inlineStr">
        <is>
          <t>167 x 142 x 136</t>
        </is>
      </c>
      <c r="I96" s="2" t="n"/>
      <c r="J96" t="inlineStr">
        <is>
          <t>to make</t>
        </is>
      </c>
      <c r="K96" s="2" t="n"/>
    </row>
    <row r="97">
      <c r="A97" t="inlineStr">
        <is>
          <t>head_visor</t>
        </is>
      </c>
      <c r="B97" s="9" t="n">
        <v>1</v>
      </c>
      <c r="C97" t="inlineStr">
        <is>
          <t>print</t>
        </is>
      </c>
      <c r="D97" t="inlineStr">
        <is>
          <t>pa_cf</t>
        </is>
      </c>
      <c r="E97" t="inlineStr">
        <is>
          <t>3D</t>
        </is>
      </c>
      <c r="G97" s="12" t="n">
        <v>81.8</v>
      </c>
      <c r="H97" t="inlineStr">
        <is>
          <t>168 x 141 x 114</t>
        </is>
      </c>
      <c r="I97" s="2" t="n"/>
      <c r="J97" t="inlineStr">
        <is>
          <t>to make</t>
        </is>
      </c>
      <c r="K97" s="2" t="n"/>
    </row>
    <row r="98">
      <c r="A98" t="inlineStr">
        <is>
          <t>torso_battery_guides</t>
        </is>
      </c>
      <c r="B98" s="9" t="n">
        <v>1</v>
      </c>
      <c r="C98" t="inlineStr">
        <is>
          <t>print</t>
        </is>
      </c>
      <c r="D98" t="inlineStr">
        <is>
          <t>pa_cf</t>
        </is>
      </c>
      <c r="E98" t="inlineStr">
        <is>
          <t>3D</t>
        </is>
      </c>
      <c r="G98" s="12" t="n">
        <v>7.9</v>
      </c>
      <c r="H98" t="inlineStr">
        <is>
          <t>147 x 60 x 20</t>
        </is>
      </c>
      <c r="I98" s="2" t="n"/>
      <c r="J98" t="inlineStr">
        <is>
          <t>to make</t>
        </is>
      </c>
      <c r="K98" s="2" t="n"/>
    </row>
    <row r="99">
      <c r="A99" t="inlineStr">
        <is>
          <t>torso_battery_latch</t>
        </is>
      </c>
      <c r="B99" s="9" t="n">
        <v>1</v>
      </c>
      <c r="C99" t="inlineStr">
        <is>
          <t>print</t>
        </is>
      </c>
      <c r="D99" t="inlineStr">
        <is>
          <t>pa_cf</t>
        </is>
      </c>
      <c r="E99" t="inlineStr">
        <is>
          <t>3D</t>
        </is>
      </c>
      <c r="G99" s="12" t="n">
        <v>34.3</v>
      </c>
      <c r="H99" t="inlineStr">
        <is>
          <t>130 x 60 x 4</t>
        </is>
      </c>
      <c r="I99" s="2" t="n"/>
      <c r="J99" t="inlineStr">
        <is>
          <t>to make</t>
        </is>
      </c>
      <c r="K99" s="2" t="n"/>
    </row>
    <row r="100">
      <c r="A100" t="inlineStr">
        <is>
          <t>torso_chest_shell_lower</t>
        </is>
      </c>
      <c r="B100" s="9" t="n">
        <v>1</v>
      </c>
      <c r="C100" t="inlineStr">
        <is>
          <t>print</t>
        </is>
      </c>
      <c r="D100" t="inlineStr">
        <is>
          <t>pa_cf</t>
        </is>
      </c>
      <c r="E100" t="inlineStr">
        <is>
          <t>3D</t>
        </is>
      </c>
      <c r="G100" s="12" t="n">
        <v>123.8</v>
      </c>
      <c r="H100" t="inlineStr">
        <is>
          <t>176 x 164 x 107</t>
        </is>
      </c>
      <c r="I100" s="2" t="n"/>
      <c r="J100" t="inlineStr">
        <is>
          <t>to make</t>
        </is>
      </c>
      <c r="K100" s="2" t="n"/>
    </row>
    <row r="101">
      <c r="A101" t="inlineStr">
        <is>
          <t>torso_chest_shell_upper</t>
        </is>
      </c>
      <c r="B101" s="9" t="n">
        <v>1</v>
      </c>
      <c r="C101" t="inlineStr">
        <is>
          <t>print</t>
        </is>
      </c>
      <c r="D101" t="inlineStr">
        <is>
          <t>pa_cf</t>
        </is>
      </c>
      <c r="E101" t="inlineStr">
        <is>
          <t>3D</t>
        </is>
      </c>
      <c r="G101" s="12" t="n">
        <v>110.5</v>
      </c>
      <c r="H101" t="inlineStr">
        <is>
          <t>176 x 164 x 107</t>
        </is>
      </c>
      <c r="I101" s="2" t="n"/>
      <c r="J101" t="inlineStr">
        <is>
          <t>to make</t>
        </is>
      </c>
      <c r="K101" s="2" t="n"/>
    </row>
    <row r="102">
      <c r="A102" t="inlineStr">
        <is>
          <t>{side}_forearm_shell</t>
        </is>
      </c>
      <c r="B102" s="9" t="n">
        <v>2</v>
      </c>
      <c r="C102" t="inlineStr">
        <is>
          <t>print</t>
        </is>
      </c>
      <c r="D102" t="inlineStr">
        <is>
          <t>pa_cf</t>
        </is>
      </c>
      <c r="E102" t="inlineStr">
        <is>
          <t>3D</t>
        </is>
      </c>
      <c r="G102" s="12" t="n">
        <v>71.8</v>
      </c>
      <c r="H102" t="inlineStr">
        <is>
          <t>158 x 70 x 68</t>
        </is>
      </c>
      <c r="I102" s="2" t="n"/>
      <c r="J102" t="inlineStr">
        <is>
          <t>to make</t>
        </is>
      </c>
      <c r="K102" s="2" t="n"/>
    </row>
    <row r="103">
      <c r="A103" t="inlineStr">
        <is>
          <t>{side}_hand_mount</t>
        </is>
      </c>
      <c r="B103" s="9" t="n">
        <v>2</v>
      </c>
      <c r="C103" t="inlineStr">
        <is>
          <t>print</t>
        </is>
      </c>
      <c r="D103" t="inlineStr">
        <is>
          <t>pa_cf</t>
        </is>
      </c>
      <c r="E103" t="inlineStr">
        <is>
          <t>3D</t>
        </is>
      </c>
      <c r="G103" s="12" t="n">
        <v>18.3</v>
      </c>
      <c r="H103" t="inlineStr">
        <is>
          <t>68 x 53 x 33</t>
        </is>
      </c>
      <c r="I103" s="2" t="n"/>
      <c r="J103" t="inlineStr">
        <is>
          <t>to make</t>
        </is>
      </c>
      <c r="K103" s="2" t="n"/>
    </row>
    <row r="104">
      <c r="A104" t="inlineStr">
        <is>
          <t>{side}_thigh_shell</t>
        </is>
      </c>
      <c r="B104" s="9" t="n">
        <v>2</v>
      </c>
      <c r="C104" t="inlineStr">
        <is>
          <t>print</t>
        </is>
      </c>
      <c r="D104" t="inlineStr">
        <is>
          <t>pa_cf</t>
        </is>
      </c>
      <c r="E104" t="inlineStr">
        <is>
          <t>3D</t>
        </is>
      </c>
      <c r="G104" s="12" t="n">
        <v>64.59999999999999</v>
      </c>
      <c r="H104" t="inlineStr">
        <is>
          <t>130 x 116 x 53</t>
        </is>
      </c>
      <c r="I104" s="2" t="n"/>
      <c r="J104" t="inlineStr">
        <is>
          <t>to make</t>
        </is>
      </c>
      <c r="K104" s="2" t="n"/>
    </row>
    <row r="105">
      <c r="A105" t="inlineStr">
        <is>
          <t>{side}_upper_arm_shell</t>
        </is>
      </c>
      <c r="B105" s="9" t="n">
        <v>2</v>
      </c>
      <c r="C105" t="inlineStr">
        <is>
          <t>print</t>
        </is>
      </c>
      <c r="D105" t="inlineStr">
        <is>
          <t>pa_cf</t>
        </is>
      </c>
      <c r="E105" t="inlineStr">
        <is>
          <t>3D</t>
        </is>
      </c>
      <c r="G105" s="12" t="n">
        <v>73.90000000000001</v>
      </c>
      <c r="H105" t="inlineStr">
        <is>
          <t>131 x 87 x 78</t>
        </is>
      </c>
      <c r="I105" s="2" t="n"/>
      <c r="J105" t="inlineStr">
        <is>
          <t>to make</t>
        </is>
      </c>
      <c r="K105" s="2" t="n"/>
    </row>
    <row r="106">
      <c r="A106" t="inlineStr">
        <is>
          <t>{side}_wrist_cradle</t>
        </is>
      </c>
      <c r="B106" s="9" t="n">
        <v>2</v>
      </c>
      <c r="C106" t="inlineStr">
        <is>
          <t>print</t>
        </is>
      </c>
      <c r="D106" t="inlineStr">
        <is>
          <t>pa_cf</t>
        </is>
      </c>
      <c r="E106" t="inlineStr">
        <is>
          <t>3D</t>
        </is>
      </c>
      <c r="G106" s="12" t="n">
        <v>40.8</v>
      </c>
      <c r="H106" t="inlineStr">
        <is>
          <t>66 x 55 x 41</t>
        </is>
      </c>
      <c r="I106" s="2" t="n"/>
      <c r="J106" t="inlineStr">
        <is>
          <t>to make</t>
        </is>
      </c>
      <c r="K106" s="2" t="n"/>
    </row>
    <row r="107">
      <c r="A107" t="inlineStr">
        <is>
          <t>{side}_foot_sole</t>
        </is>
      </c>
      <c r="B107" s="9" t="n">
        <v>2</v>
      </c>
      <c r="C107" t="inlineStr">
        <is>
          <t>print</t>
        </is>
      </c>
      <c r="D107" t="inlineStr">
        <is>
          <t>tpu</t>
        </is>
      </c>
      <c r="E107" t="inlineStr">
        <is>
          <t>3D</t>
        </is>
      </c>
      <c r="G107" s="12" t="n">
        <v>104.9</v>
      </c>
      <c r="H107" t="inlineStr">
        <is>
          <t>240 x 110 x 4</t>
        </is>
      </c>
      <c r="I107" s="2" t="n"/>
      <c r="J107" t="inlineStr">
        <is>
          <t>to make</t>
        </is>
      </c>
      <c r="K107" s="2" t="n"/>
    </row>
    <row r="108">
      <c r="A108" t="inlineStr">
        <is>
          <t>pelvis_back</t>
        </is>
      </c>
      <c r="B108" s="9" t="n">
        <v>1</v>
      </c>
      <c r="C108" t="inlineStr">
        <is>
          <t>service</t>
        </is>
      </c>
      <c r="D108" t="inlineStr">
        <is>
          <t>al6061</t>
        </is>
      </c>
      <c r="E108" t="inlineStr">
        <is>
          <t>3D</t>
        </is>
      </c>
      <c r="F108" t="n">
        <v>20</v>
      </c>
      <c r="G108" s="12" t="n">
        <v>295.4</v>
      </c>
      <c r="H108" t="inlineStr">
        <is>
          <t>312 x 150 x 20</t>
        </is>
      </c>
      <c r="I108" s="2" t="n"/>
      <c r="J108" t="inlineStr">
        <is>
          <t>to make</t>
        </is>
      </c>
      <c r="K108" s="2" t="n"/>
    </row>
    <row r="109">
      <c r="A109" t="inlineStr">
        <is>
          <t>pelvis_gusset_{side}</t>
        </is>
      </c>
      <c r="B109" s="9" t="n">
        <v>2</v>
      </c>
      <c r="C109" t="inlineStr">
        <is>
          <t>service</t>
        </is>
      </c>
      <c r="D109" t="inlineStr">
        <is>
          <t>al6061</t>
        </is>
      </c>
      <c r="E109" t="inlineStr">
        <is>
          <t>flat 6.0 mm</t>
        </is>
      </c>
      <c r="F109" t="n">
        <v>6</v>
      </c>
      <c r="G109" s="12" t="n">
        <v>143.5</v>
      </c>
      <c r="H109" t="inlineStr">
        <is>
          <t>201 x 121 x 6</t>
        </is>
      </c>
      <c r="I109" s="2" t="n"/>
      <c r="J109" t="inlineStr">
        <is>
          <t>to make</t>
        </is>
      </c>
      <c r="K109" s="2" t="n"/>
    </row>
    <row r="110">
      <c r="A110" t="inlineStr">
        <is>
          <t>pelvis_top</t>
        </is>
      </c>
      <c r="B110" s="9" t="n">
        <v>1</v>
      </c>
      <c r="C110" t="inlineStr">
        <is>
          <t>service</t>
        </is>
      </c>
      <c r="D110" t="inlineStr">
        <is>
          <t>al6061</t>
        </is>
      </c>
      <c r="E110" t="inlineStr">
        <is>
          <t>flat 6.0 mm</t>
        </is>
      </c>
      <c r="F110" t="n">
        <v>6</v>
      </c>
      <c r="G110" s="12" t="n">
        <v>214.7</v>
      </c>
      <c r="H110" t="inlineStr">
        <is>
          <t>201 x 100 x 6</t>
        </is>
      </c>
      <c r="I110" s="2" t="n"/>
      <c r="J110" t="inlineStr">
        <is>
          <t>to make</t>
        </is>
      </c>
      <c r="K110" s="2" t="n"/>
    </row>
    <row r="111">
      <c r="A111" t="inlineStr">
        <is>
          <t>torso_upright_{side}</t>
        </is>
      </c>
      <c r="B111" s="9" t="n">
        <v>2</v>
      </c>
      <c r="C111" t="inlineStr">
        <is>
          <t>service</t>
        </is>
      </c>
      <c r="D111" t="inlineStr">
        <is>
          <t>al6061</t>
        </is>
      </c>
      <c r="E111" t="inlineStr">
        <is>
          <t>3D</t>
        </is>
      </c>
      <c r="F111" t="n">
        <v>25</v>
      </c>
      <c r="G111" s="12" t="n">
        <v>280.1</v>
      </c>
      <c r="H111" t="inlineStr">
        <is>
          <t>313 x 149 x 21</t>
        </is>
      </c>
      <c r="I111" s="2" t="n"/>
      <c r="J111" t="inlineStr">
        <is>
          <t>to make</t>
        </is>
      </c>
      <c r="K111" s="2" t="n"/>
    </row>
    <row r="112">
      <c r="A112" t="inlineStr">
        <is>
          <t>{side}_foot_base</t>
        </is>
      </c>
      <c r="B112" s="9" t="n">
        <v>2</v>
      </c>
      <c r="C112" t="inlineStr">
        <is>
          <t>service</t>
        </is>
      </c>
      <c r="D112" t="inlineStr">
        <is>
          <t>al6061</t>
        </is>
      </c>
      <c r="E112" t="inlineStr">
        <is>
          <t>flat 5.0 mm</t>
        </is>
      </c>
      <c r="F112" t="n">
        <v>5</v>
      </c>
      <c r="G112" s="12" t="n">
        <v>171.4</v>
      </c>
      <c r="H112" t="inlineStr">
        <is>
          <t>230 x 100 x 5</t>
        </is>
      </c>
      <c r="I112" s="2" t="n"/>
      <c r="J112" t="inlineStr">
        <is>
          <t>to make</t>
        </is>
      </c>
      <c r="K112" s="2" t="n"/>
    </row>
    <row r="113">
      <c r="A113" t="inlineStr">
        <is>
          <t>{side}_shin_inner</t>
        </is>
      </c>
      <c r="B113" s="9" t="n">
        <v>2</v>
      </c>
      <c r="C113" t="inlineStr">
        <is>
          <t>service</t>
        </is>
      </c>
      <c r="D113" t="inlineStr">
        <is>
          <t>al6061</t>
        </is>
      </c>
      <c r="E113" t="inlineStr">
        <is>
          <t>flat 4.0 mm</t>
        </is>
      </c>
      <c r="F113" t="n">
        <v>4</v>
      </c>
      <c r="G113" s="12" t="n">
        <v>177.9</v>
      </c>
      <c r="H113" t="inlineStr">
        <is>
          <t>379 x 142 x 4</t>
        </is>
      </c>
      <c r="I113" s="2" t="n"/>
      <c r="J113" t="inlineStr">
        <is>
          <t>to make</t>
        </is>
      </c>
      <c r="K113" s="2" t="n"/>
    </row>
    <row r="114">
      <c r="A114" t="inlineStr">
        <is>
          <t>{side}_shin_outer</t>
        </is>
      </c>
      <c r="B114" s="9" t="n">
        <v>2</v>
      </c>
      <c r="C114" t="inlineStr">
        <is>
          <t>service</t>
        </is>
      </c>
      <c r="D114" t="inlineStr">
        <is>
          <t>al6061</t>
        </is>
      </c>
      <c r="E114" t="inlineStr">
        <is>
          <t>flat 4.0 mm</t>
        </is>
      </c>
      <c r="F114" t="n">
        <v>4</v>
      </c>
      <c r="G114" s="12" t="n">
        <v>121.1</v>
      </c>
      <c r="H114" t="inlineStr">
        <is>
          <t>314 x 114 x 4</t>
        </is>
      </c>
      <c r="I114" s="2" t="n"/>
      <c r="J114" t="inlineStr">
        <is>
          <t>to make</t>
        </is>
      </c>
      <c r="K114" s="2" t="n"/>
    </row>
  </sheetData>
  <autoFilter ref="A1:K114"/>
  <dataValidations count="1">
    <dataValidation sqref="J2:J114" showDropDown="0" showInputMessage="0" showErrorMessage="0" allowBlank="0" error="Choose one of: to make, ordered, made" type="list">
      <formula1>"to make,ordered,made"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60" customWidth="1" min="5" max="5"/>
    <col width="9" customWidth="1" min="6" max="6"/>
  </cols>
  <sheetData>
    <row r="1" ht="20" customHeight="1">
      <c r="A1" s="8" t="inlineStr">
        <is>
          <t>Actuator</t>
        </is>
      </c>
      <c r="B1" s="8" t="inlineStr">
        <is>
          <t>Face</t>
        </is>
      </c>
      <c r="C1" s="8" t="inlineStr">
        <is>
          <t>Thread</t>
        </is>
      </c>
      <c r="D1" s="8" t="inlineStr">
        <is>
          <t>Qty</t>
        </is>
      </c>
      <c r="E1" s="8" t="inlineStr">
        <is>
          <t>Notes</t>
        </is>
      </c>
      <c r="F1" s="8" t="inlineStr">
        <is>
          <t>Status</t>
        </is>
      </c>
    </row>
    <row r="2">
      <c r="A2" t="inlineStr">
        <is>
          <t>RS00</t>
        </is>
      </c>
      <c r="B2" t="inlineStr">
        <is>
          <t>output</t>
        </is>
      </c>
      <c r="C2" t="inlineStr">
        <is>
          <t>M3</t>
        </is>
      </c>
      <c r="D2" s="9" t="n">
        <v>12</v>
      </c>
      <c r="E2" s="2" t="inlineStr">
        <is>
          <t>socket head, 12.9; length = plate + thread engagement, per part</t>
        </is>
      </c>
      <c r="F2" t="inlineStr">
        <is>
          <t>to buy</t>
        </is>
      </c>
    </row>
    <row r="3">
      <c r="A3" t="inlineStr">
        <is>
          <t>RS00</t>
        </is>
      </c>
      <c r="B3" t="inlineStr">
        <is>
          <t>stator</t>
        </is>
      </c>
      <c r="C3" t="inlineStr">
        <is>
          <t>M3</t>
        </is>
      </c>
      <c r="D3" s="9" t="n">
        <v>12</v>
      </c>
      <c r="E3" s="2" t="inlineStr">
        <is>
          <t>socket head, 12.9; length = plate + thread engagement, per part</t>
        </is>
      </c>
      <c r="F3" t="inlineStr">
        <is>
          <t>to buy</t>
        </is>
      </c>
    </row>
    <row r="4">
      <c r="A4" t="inlineStr">
        <is>
          <t>RS03</t>
        </is>
      </c>
      <c r="B4" t="inlineStr">
        <is>
          <t>output</t>
        </is>
      </c>
      <c r="C4" t="inlineStr">
        <is>
          <t>M4</t>
        </is>
      </c>
      <c r="D4" s="9" t="n">
        <v>66</v>
      </c>
      <c r="E4" s="2" t="inlineStr">
        <is>
          <t>socket head, 12.9; length = plate + thread engagement, per part</t>
        </is>
      </c>
      <c r="F4" t="inlineStr">
        <is>
          <t>to buy</t>
        </is>
      </c>
    </row>
    <row r="5">
      <c r="A5" t="inlineStr">
        <is>
          <t>RS03</t>
        </is>
      </c>
      <c r="B5" t="inlineStr">
        <is>
          <t>stator</t>
        </is>
      </c>
      <c r="C5" t="inlineStr">
        <is>
          <t>M4</t>
        </is>
      </c>
      <c r="D5" s="9" t="n">
        <v>88</v>
      </c>
      <c r="E5" s="2" t="inlineStr">
        <is>
          <t>socket head, 12.9; length = plate + thread engagement, per part</t>
        </is>
      </c>
      <c r="F5" t="inlineStr">
        <is>
          <t>to buy</t>
        </is>
      </c>
    </row>
    <row r="6">
      <c r="A6" t="inlineStr">
        <is>
          <t>RS04</t>
        </is>
      </c>
      <c r="B6" t="inlineStr">
        <is>
          <t>output</t>
        </is>
      </c>
      <c r="C6" t="inlineStr">
        <is>
          <t>M5</t>
        </is>
      </c>
      <c r="D6" s="9" t="n">
        <v>54</v>
      </c>
      <c r="E6" s="2" t="inlineStr">
        <is>
          <t>socket head, 12.9; length = plate + thread engagement, per part</t>
        </is>
      </c>
      <c r="F6" t="inlineStr">
        <is>
          <t>to buy</t>
        </is>
      </c>
    </row>
    <row r="7">
      <c r="A7" t="inlineStr">
        <is>
          <t>RS04</t>
        </is>
      </c>
      <c r="B7" t="inlineStr">
        <is>
          <t>stator</t>
        </is>
      </c>
      <c r="C7" t="inlineStr">
        <is>
          <t>M4</t>
        </is>
      </c>
      <c r="D7" s="9" t="n">
        <v>60</v>
      </c>
      <c r="E7" s="2" t="inlineStr">
        <is>
          <t>socket head, 12.9; length = plate + thread engagement, per part</t>
        </is>
      </c>
      <c r="F7" t="inlineStr">
        <is>
          <t>to buy</t>
        </is>
      </c>
    </row>
    <row r="8">
      <c r="A8" t="inlineStr">
        <is>
          <t>RS06</t>
        </is>
      </c>
      <c r="B8" t="inlineStr">
        <is>
          <t>output</t>
        </is>
      </c>
      <c r="C8" t="inlineStr">
        <is>
          <t>M4</t>
        </is>
      </c>
      <c r="D8" s="9" t="n">
        <v>24</v>
      </c>
      <c r="E8" s="2" t="inlineStr">
        <is>
          <t>socket head, 12.9; length = plate + thread engagement, per part</t>
        </is>
      </c>
      <c r="F8" t="inlineStr">
        <is>
          <t>to buy</t>
        </is>
      </c>
    </row>
    <row r="9">
      <c r="A9" t="inlineStr">
        <is>
          <t>RS06</t>
        </is>
      </c>
      <c r="B9" t="inlineStr">
        <is>
          <t>stator</t>
        </is>
      </c>
      <c r="C9" t="inlineStr">
        <is>
          <t>M3</t>
        </is>
      </c>
      <c r="D9" s="9" t="n">
        <v>32</v>
      </c>
      <c r="E9" s="2" t="inlineStr">
        <is>
          <t>socket head, 12.9; length = plate + thread engagement, per part</t>
        </is>
      </c>
      <c r="F9" t="inlineStr">
        <is>
          <t>to buy</t>
        </is>
      </c>
    </row>
  </sheetData>
  <autoFilter ref="A1:F9"/>
  <dataValidations count="1">
    <dataValidation sqref="F2:F9" showDropDown="0" showInputMessage="0" showErrorMessage="0" allowBlank="0" error="Choose one of: to buy, ordered, owned" type="list">
      <formula1>"to buy,ordered,owned"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2026-10-29T20:55:15Z</dcterms:created>
  <dcterms:modified xsi:type="dcterms:W3CDTF">2026-10-29T21:14:06Z</dcterms:modified>
</cp:coreProperties>
</file>